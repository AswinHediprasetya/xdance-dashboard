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Locatie Prestaties" sheetId="2" r:id="rId5"/>
    <sheet state="visible" name="Docenten Prestaties" sheetId="3" r:id="rId6"/>
    <sheet state="visible" name="Kosten Docenten" sheetId="4" r:id="rId7"/>
    <sheet state="visible" name="Kosten Locatie" sheetId="5" r:id="rId8"/>
  </sheets>
  <definedNames/>
  <calcPr/>
  <extLst>
    <ext uri="GoogleSheetsCustomDataVersion2">
      <go:sheetsCustomData xmlns:go="http://customooxmlschemas.google.com/" r:id="rId9" roundtripDataChecksum="XN+Jm/ZpHZLPkyVUO4ULtDJhIgxsl2TVaM4MS9kD0aA="/>
    </ext>
  </extLst>
</workbook>
</file>

<file path=xl/sharedStrings.xml><?xml version="1.0" encoding="utf-8"?>
<sst xmlns="http://schemas.openxmlformats.org/spreadsheetml/2006/main" count="851" uniqueCount="253">
  <si>
    <t>Classname</t>
  </si>
  <si>
    <t>Teacher</t>
  </si>
  <si>
    <t>Location</t>
  </si>
  <si>
    <t>AmountStudents</t>
  </si>
  <si>
    <t>Profit/Loss</t>
  </si>
  <si>
    <t>Turnover</t>
  </si>
  <si>
    <t>Supplement</t>
  </si>
  <si>
    <t>Expense Teacher</t>
  </si>
  <si>
    <t>Rent</t>
  </si>
  <si>
    <t>Duration of Class</t>
  </si>
  <si>
    <t>Turnover / student</t>
  </si>
  <si>
    <t>Average Age</t>
  </si>
  <si>
    <t>Day</t>
  </si>
  <si>
    <t>Classtime</t>
  </si>
  <si>
    <t>Modern 10+ Intermediate</t>
  </si>
  <si>
    <t>Iris Heising</t>
  </si>
  <si>
    <t>Hengelo</t>
  </si>
  <si>
    <t>Tuesday</t>
  </si>
  <si>
    <t>Heels 15+ Intermediate</t>
  </si>
  <si>
    <t>Isabel</t>
  </si>
  <si>
    <t>Wednesday</t>
  </si>
  <si>
    <t>Commercial 15+ Beg (GoPlanet)</t>
  </si>
  <si>
    <t>Amarise</t>
  </si>
  <si>
    <t>Go Planet</t>
  </si>
  <si>
    <t>Monday</t>
  </si>
  <si>
    <t>HipHop Foundations Beg</t>
  </si>
  <si>
    <t>Christiaan</t>
  </si>
  <si>
    <t>Hatha Yoga</t>
  </si>
  <si>
    <t>Kris</t>
  </si>
  <si>
    <t>Battle Camp Elite (Team)</t>
  </si>
  <si>
    <t>Imaury</t>
  </si>
  <si>
    <t>Thursday</t>
  </si>
  <si>
    <t>BATTLE CAMP (Team)</t>
  </si>
  <si>
    <t>Commercial Jazz 12+ int</t>
  </si>
  <si>
    <t>A-Selectie Techniek</t>
  </si>
  <si>
    <t>Friday</t>
  </si>
  <si>
    <t>Ballet adult beginners (GoPlanet)</t>
  </si>
  <si>
    <t>Tap 8+ Beginners</t>
  </si>
  <si>
    <t>May</t>
  </si>
  <si>
    <t>Ballet 13+ Beg (Enschede)</t>
  </si>
  <si>
    <t>Saskia</t>
  </si>
  <si>
    <t>Enschede</t>
  </si>
  <si>
    <t>Ballet Repertoire Advanced</t>
  </si>
  <si>
    <t>Ruben</t>
  </si>
  <si>
    <t>Spitzen 16+</t>
  </si>
  <si>
    <t>Absolute Beginners Adult</t>
  </si>
  <si>
    <t>Spitzen 13+ Beg (Enschede)</t>
  </si>
  <si>
    <t>Freestyle 9+ Beginners</t>
  </si>
  <si>
    <t>LiteFeet 12+ Intermediate</t>
  </si>
  <si>
    <t>Hamiro</t>
  </si>
  <si>
    <t>Modern 9+ Beginners</t>
  </si>
  <si>
    <t>Valeriia</t>
  </si>
  <si>
    <t>Saturday</t>
  </si>
  <si>
    <t>Commercial 12+ Intermediate</t>
  </si>
  <si>
    <t>Bengt</t>
  </si>
  <si>
    <t>B-Selectie Techniek</t>
  </si>
  <si>
    <t>AcroJazz 10+ Open</t>
  </si>
  <si>
    <t>Guusje</t>
  </si>
  <si>
    <t>Boys Only</t>
  </si>
  <si>
    <t>HipHop Foundations Int</t>
  </si>
  <si>
    <t>Modern 13+ Beginners</t>
  </si>
  <si>
    <t>Modern 8+ (Enschede)</t>
  </si>
  <si>
    <t>Carmen</t>
  </si>
  <si>
    <t>Streetdance 8+ (Slangenbeek)</t>
  </si>
  <si>
    <t>Xena</t>
  </si>
  <si>
    <t>Slangenbeek</t>
  </si>
  <si>
    <t>Spitzen Adult (Enschede) Intermediate</t>
  </si>
  <si>
    <t>Urban Contemporary Adult Beg</t>
  </si>
  <si>
    <t>Iris Wilms</t>
  </si>
  <si>
    <t>Ballet 16+ Advanced</t>
  </si>
  <si>
    <t>Latin Solo</t>
  </si>
  <si>
    <t>Isa</t>
  </si>
  <si>
    <t>HipHop 10+</t>
  </si>
  <si>
    <t>Floor</t>
  </si>
  <si>
    <t>HipHop 6+</t>
  </si>
  <si>
    <t>HipHop 12+ Intermediate</t>
  </si>
  <si>
    <t>Musical Dans 9+</t>
  </si>
  <si>
    <t>Bas</t>
  </si>
  <si>
    <t>Spitzen 11+ Beginners</t>
  </si>
  <si>
    <t>HipHop 11+ (Haaksbergen)</t>
  </si>
  <si>
    <t>Jolijn &amp; Indy</t>
  </si>
  <si>
    <t>Haaksbergen</t>
  </si>
  <si>
    <t>Commercial 15+ Int/Adv</t>
  </si>
  <si>
    <t>Ballet 8+ Beg (GoPlanet)</t>
  </si>
  <si>
    <t>Brechtje</t>
  </si>
  <si>
    <t>Contemporary Jazz Adult Beg</t>
  </si>
  <si>
    <t>Myrthe</t>
  </si>
  <si>
    <t>Ballet 10+ Beg (Enschede)</t>
  </si>
  <si>
    <t>Heels 16+ Beginners</t>
  </si>
  <si>
    <t>K-Pop R.P.D. Open</t>
  </si>
  <si>
    <t>Kyra</t>
  </si>
  <si>
    <t>AcroJazz 9+ Beg/Int  (GoPlanet)</t>
  </si>
  <si>
    <t>Brechtje &amp; Sophie</t>
  </si>
  <si>
    <t>Modern 15+ Int (GoPlanet)</t>
  </si>
  <si>
    <t>Vera</t>
  </si>
  <si>
    <t>Commercial 35+ Beginners</t>
  </si>
  <si>
    <t>Kleuterballet (Enschede)</t>
  </si>
  <si>
    <t>Modern 16+/Adult (Enschede) Beg</t>
  </si>
  <si>
    <t>Ballet 8+ (Enschede)</t>
  </si>
  <si>
    <t>Musical 8+</t>
  </si>
  <si>
    <t>Commercial 16+ advanced</t>
  </si>
  <si>
    <t>S-Selectie Contemporary</t>
  </si>
  <si>
    <t>Hani</t>
  </si>
  <si>
    <t>HipHop Adult Beg (GoPlanet)</t>
  </si>
  <si>
    <t>Jasmijn</t>
  </si>
  <si>
    <t>Ballet 9+ Beginners</t>
  </si>
  <si>
    <t>Modern 8+ Beg (GoPlanet)</t>
  </si>
  <si>
    <t>Lisanne</t>
  </si>
  <si>
    <t>Streetdance 6+ (Enschede)</t>
  </si>
  <si>
    <t>Lotte</t>
  </si>
  <si>
    <t>Ballet 6+ (Enschede)</t>
  </si>
  <si>
    <t>Heels Beg/Int (GoPlanet)</t>
  </si>
  <si>
    <t>HipHop 12+ Beginners (Enschede)</t>
  </si>
  <si>
    <t>Anne</t>
  </si>
  <si>
    <t>Musical 12+</t>
  </si>
  <si>
    <t>Ballet 18+ Advanced (Enschede)</t>
  </si>
  <si>
    <t>C-Selectie Ballet</t>
  </si>
  <si>
    <t>Ballet 12+ Advanced</t>
  </si>
  <si>
    <t>Modern Jazz 18+ Beg/Int (GoPlanet)</t>
  </si>
  <si>
    <t>HipHop 7+</t>
  </si>
  <si>
    <t>Locking 21+ Beginners</t>
  </si>
  <si>
    <t>Ballet 12+ Intermediate</t>
  </si>
  <si>
    <t>Eline</t>
  </si>
  <si>
    <t>HipHop 9+ Intermediate</t>
  </si>
  <si>
    <t>Merle</t>
  </si>
  <si>
    <t>Freestyle Int/Adv</t>
  </si>
  <si>
    <t>E-Selectie Ballet</t>
  </si>
  <si>
    <t>D-Selectie Ballet</t>
  </si>
  <si>
    <t>Commercial 12+ Beg/Int (GoPlanet)</t>
  </si>
  <si>
    <t>Musical 18+</t>
  </si>
  <si>
    <t>C-Selectie Techniek</t>
  </si>
  <si>
    <t>Contemporary Jazz 12+ intermediate</t>
  </si>
  <si>
    <t>Esmee</t>
  </si>
  <si>
    <t>Streetdance 8+ (Bentelo)</t>
  </si>
  <si>
    <t>Bentelo</t>
  </si>
  <si>
    <t>Contemporary Jazz 18+ Int/Adv</t>
  </si>
  <si>
    <t>D-Selectie</t>
  </si>
  <si>
    <t>Mara</t>
  </si>
  <si>
    <t>Kleuterdans</t>
  </si>
  <si>
    <t>Urban Contemp. Adult beg (GoPlanet)</t>
  </si>
  <si>
    <t>Heels 18+ Beg/int</t>
  </si>
  <si>
    <t>HipHop 12+ Beginners</t>
  </si>
  <si>
    <t>Modern 12+ Beginners</t>
  </si>
  <si>
    <t>Renske</t>
  </si>
  <si>
    <t>Commercial 30+ (GoPlanet)</t>
  </si>
  <si>
    <t>HipHop 9+ Beginners</t>
  </si>
  <si>
    <t>Breakdance 8+ (Enschede)</t>
  </si>
  <si>
    <t>Rowdy</t>
  </si>
  <si>
    <t>Contemporary 18+ Int</t>
  </si>
  <si>
    <t>Kleuterballet</t>
  </si>
  <si>
    <t>Modern 13+ Int (Enschede)</t>
  </si>
  <si>
    <t>Afro Beg/Int (Enschede)</t>
  </si>
  <si>
    <t>E-Selectie</t>
  </si>
  <si>
    <t>Commercial 11+ Beginners</t>
  </si>
  <si>
    <t>Musical 10+</t>
  </si>
  <si>
    <t>Pandora (Team)</t>
  </si>
  <si>
    <t>K-Pop 13+ Open</t>
  </si>
  <si>
    <t>Lara</t>
  </si>
  <si>
    <t>BOOGIE CHIBI'S (Team)</t>
  </si>
  <si>
    <t>Modern 10+</t>
  </si>
  <si>
    <t>Urban Contemporary 9+ Beg/Int</t>
  </si>
  <si>
    <t>Kleuterdans (Enschede)</t>
  </si>
  <si>
    <t>Tay &amp; Dilara</t>
  </si>
  <si>
    <t>Streetdance 8+ Beg (GoPlanet)</t>
  </si>
  <si>
    <t>B-Selectie Contemporary</t>
  </si>
  <si>
    <t>Spitzen 16+/Adult (Enschede) Beg/Int</t>
  </si>
  <si>
    <t>HipHop 8+ (Haaksbergen)</t>
  </si>
  <si>
    <t>Modern 12+ Intermediate</t>
  </si>
  <si>
    <t>Streetdance 10+ Beg (GoPlanet)</t>
  </si>
  <si>
    <t>Modern Adult Intermediate</t>
  </si>
  <si>
    <t>Modern 8+</t>
  </si>
  <si>
    <t>HipHop Adult Beginners</t>
  </si>
  <si>
    <t>Commercial 12+ Int (GoPlanet)</t>
  </si>
  <si>
    <t>Streetdance 6+ (Hasseler Es)</t>
  </si>
  <si>
    <t>Hasseler Es</t>
  </si>
  <si>
    <t>HipHop 13+ Beg/Int</t>
  </si>
  <si>
    <t>Urban Contemporary 16+ Int</t>
  </si>
  <si>
    <t>Ballet 16+/Adult (Enschede) Int</t>
  </si>
  <si>
    <t>Urban Contemporary 16+ Adv*</t>
  </si>
  <si>
    <t>Commercial Jazz 8+ (Enschede)</t>
  </si>
  <si>
    <t>IRON (Team)</t>
  </si>
  <si>
    <t>A-Selectie Contemporary</t>
  </si>
  <si>
    <t>Streetdance 10+ (Hasseler Es)</t>
  </si>
  <si>
    <t>Tay</t>
  </si>
  <si>
    <t>Streetdance 5+ (Enschede)</t>
  </si>
  <si>
    <t>Streetdance 7+ (Enschede)</t>
  </si>
  <si>
    <t>Modern Adult Beginners</t>
  </si>
  <si>
    <t>Modern 13+ Beg (Enschede)</t>
  </si>
  <si>
    <t>Streetdance 5+ Beg (GoPlanet)</t>
  </si>
  <si>
    <t>C-Selectie Contemporary</t>
  </si>
  <si>
    <t>FUNKY TODDLERS (Team)</t>
  </si>
  <si>
    <t>HipHop 10+ (Slangenbeek)</t>
  </si>
  <si>
    <t>K-Pop 15+ Intermediate</t>
  </si>
  <si>
    <t>Sophie</t>
  </si>
  <si>
    <t>HipHop Adult Intermediate</t>
  </si>
  <si>
    <t>Commercial 12+ Beginners</t>
  </si>
  <si>
    <t>Streetdance 6+</t>
  </si>
  <si>
    <t>Ballet Adult Beg/Int</t>
  </si>
  <si>
    <t>Locking 15+ Int/Adv</t>
  </si>
  <si>
    <t>Streetdance 5+</t>
  </si>
  <si>
    <t>Urban Contemporary 12+ Int</t>
  </si>
  <si>
    <t>Commercial 15+ Int (GoPlanet)</t>
  </si>
  <si>
    <t>Modern Jazz Adult Int (GoPlanet)</t>
  </si>
  <si>
    <t>Streetdance 7+</t>
  </si>
  <si>
    <t>K-Pop 10+ Open (GoPlanet)</t>
  </si>
  <si>
    <t>Musical Selectie</t>
  </si>
  <si>
    <t>Commercial Adult Beginners</t>
  </si>
  <si>
    <t>Streetdance 9+</t>
  </si>
  <si>
    <t>HipHop 13+ Int/Adv</t>
  </si>
  <si>
    <t>Commercial 16+ Int (GoPlanet)</t>
  </si>
  <si>
    <t>Commercial Jazz Intermediate (Enschede)</t>
  </si>
  <si>
    <t>HipHop 10+ (Enschede)</t>
  </si>
  <si>
    <t>Tay &amp; Mirthe</t>
  </si>
  <si>
    <t>Streetdance 9+ (Enschede)</t>
  </si>
  <si>
    <t>Locking 9+ Intermediate</t>
  </si>
  <si>
    <t>Locking 15+ Beginners</t>
  </si>
  <si>
    <t>Locking 9+ Beginners</t>
  </si>
  <si>
    <t>Commercial 16+ intermediate</t>
  </si>
  <si>
    <t>Streetdance 10+ (Slangenbeek)</t>
  </si>
  <si>
    <t>Streetdance 8+ (Enschede)</t>
  </si>
  <si>
    <t>Commercial 14+ Beg/int</t>
  </si>
  <si>
    <t>K-Pop 9+</t>
  </si>
  <si>
    <t>K-Pop 11+</t>
  </si>
  <si>
    <t>Streetdance 8+ (Hasseler Es)</t>
  </si>
  <si>
    <t>K-Pop 15+ Open</t>
  </si>
  <si>
    <t>K-Pop 12+ Open</t>
  </si>
  <si>
    <t>Locatie</t>
  </si>
  <si>
    <t>Gem. zaalhuur</t>
  </si>
  <si>
    <t>Gem. Winst/les</t>
  </si>
  <si>
    <t>Gem. groepsgrootte</t>
  </si>
  <si>
    <t>Totale opbrengst</t>
  </si>
  <si>
    <t>Totaal aantal leerlingen</t>
  </si>
  <si>
    <t>Docent</t>
  </si>
  <si>
    <t>Totale winst</t>
  </si>
  <si>
    <t>Winst per lesuur</t>
  </si>
  <si>
    <t>Aantal lesuren</t>
  </si>
  <si>
    <t>Totale kosten /uur</t>
  </si>
  <si>
    <t>Uurtarief</t>
  </si>
  <si>
    <t>lessen</t>
  </si>
  <si>
    <t>uur</t>
  </si>
  <si>
    <t>Reiskosten</t>
  </si>
  <si>
    <t>Reiskosten / les</t>
  </si>
  <si>
    <t>Indy</t>
  </si>
  <si>
    <t>Jolijn</t>
  </si>
  <si>
    <t>Dilara</t>
  </si>
  <si>
    <t>Kian</t>
  </si>
  <si>
    <t>Samara</t>
  </si>
  <si>
    <t>Marnix</t>
  </si>
  <si>
    <t>Mirthe</t>
  </si>
  <si>
    <t xml:space="preserve">Lara </t>
  </si>
  <si>
    <t>Kosten / uur</t>
  </si>
  <si>
    <t>Aantal lessen</t>
  </si>
  <si>
    <t>Locatiehuur per maand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</si>
</sst>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rgb="FF000000"/>
      <name val="Calibri"/>
    </font>
    <font>
      <sz val="12.0"/>
      <color rgb="FF000000"/>
      <name val="Carlito"/>
    </font>
    <font>
      <color theme="1"/>
      <name val="Arial"/>
      <scheme val="minor"/>
    </font>
    <font>
      <b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164" xfId="0" applyAlignment="1" applyFont="1" applyNumberFormat="1">
      <alignment horizontal="left" shrinkToFit="0" vertical="center" wrapText="0"/>
    </xf>
    <xf borderId="0" fillId="2" fontId="1" numFmtId="4" xfId="0" applyAlignment="1" applyFont="1" applyNumberFormat="1">
      <alignment horizontal="left" readingOrder="0" shrinkToFit="0" vertical="center" wrapText="0"/>
    </xf>
    <xf borderId="0" fillId="2" fontId="2" numFmtId="0" xfId="0" applyAlignment="1" applyFont="1">
      <alignment vertical="center"/>
    </xf>
    <xf borderId="1" fillId="0" fontId="3" numFmtId="0" xfId="0" applyAlignment="1" applyBorder="1" applyFont="1">
      <alignment readingOrder="0" shrinkToFit="0" vertical="bottom" wrapText="0"/>
    </xf>
    <xf borderId="1" fillId="3" fontId="2" numFmtId="164" xfId="0" applyAlignment="1" applyBorder="1" applyFill="1" applyFont="1" applyNumberFormat="1">
      <alignment shrinkToFit="0" vertical="bottom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164" xfId="0" applyAlignment="1" applyBorder="1" applyFont="1" applyNumberFormat="1">
      <alignment shrinkToFit="0" vertical="center" wrapText="0"/>
    </xf>
    <xf borderId="2" fillId="0" fontId="4" numFmtId="4" xfId="0" applyAlignment="1" applyBorder="1" applyFont="1" applyNumberFormat="1">
      <alignment readingOrder="0" vertical="bottom"/>
    </xf>
    <xf borderId="2" fillId="0" fontId="4" numFmtId="164" xfId="0" applyAlignment="1" applyBorder="1" applyFont="1" applyNumberFormat="1">
      <alignment readingOrder="0" vertical="bottom"/>
    </xf>
    <xf borderId="2" fillId="0" fontId="5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2" fillId="0" fontId="4" numFmtId="20" xfId="0" applyAlignment="1" applyBorder="1" applyFont="1" applyNumberFormat="1">
      <alignment readingOrder="0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6" numFmtId="164" xfId="0" applyAlignment="1" applyBorder="1" applyFont="1" applyNumberFormat="1">
      <alignment readingOrder="0" shrinkToFit="0" vertical="bottom" wrapText="0"/>
    </xf>
    <xf borderId="1" fillId="0" fontId="1" numFmtId="164" xfId="0" applyAlignment="1" applyBorder="1" applyFont="1" applyNumberFormat="1">
      <alignment readingOrder="0" shrinkToFit="0" vertical="bottom" wrapText="0"/>
    </xf>
    <xf borderId="1" fillId="0" fontId="1" numFmtId="164" xfId="0" applyAlignment="1" applyBorder="1" applyFont="1" applyNumberFormat="1">
      <alignment shrinkToFit="0" vertical="center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bottom" wrapText="0"/>
    </xf>
    <xf borderId="0" fillId="0" fontId="2" numFmtId="164" xfId="0" applyAlignment="1" applyFont="1" applyNumberFormat="1">
      <alignment vertical="bottom"/>
    </xf>
    <xf borderId="0" fillId="0" fontId="2" numFmtId="164" xfId="0" applyFont="1" applyNumberFormat="1"/>
    <xf borderId="0" fillId="0" fontId="2" numFmtId="4" xfId="0" applyFont="1" applyNumberFormat="1"/>
    <xf borderId="0" fillId="4" fontId="1" numFmtId="0" xfId="0" applyAlignment="1" applyFill="1" applyFont="1">
      <alignment vertical="bottom"/>
    </xf>
    <xf borderId="0" fillId="4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4" fontId="1" numFmtId="164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5" numFmtId="0" xfId="0" applyFont="1"/>
    <xf borderId="0" fillId="0" fontId="5" numFmtId="164" xfId="0" applyFont="1" applyNumberFormat="1"/>
    <xf borderId="0" fillId="0" fontId="2" numFmtId="0" xfId="0" applyFont="1"/>
    <xf borderId="0" fillId="0" fontId="2" numFmtId="49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2">
    <tableStyle count="3" pivot="0" name="Master-style">
      <tableStyleElement dxfId="1" type="headerRow"/>
      <tableStyleElement dxfId="2" type="firstRowStripe"/>
      <tableStyleElement dxfId="3" type="secondRowStripe"/>
    </tableStyle>
    <tableStyle count="2" pivot="0" name="Master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Totale winst versus Docent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'Docenten Prestaties'!$G$1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'Docenten Prestaties'!$F$2:$F$41</c:f>
            </c:strRef>
          </c:cat>
          <c:val>
            <c:numRef>
              <c:f>'Docenten Prestaties'!$G$2:$G$41</c:f>
              <c:numCache/>
            </c:numRef>
          </c:val>
        </c:ser>
        <c:axId val="1351822259"/>
        <c:axId val="1190832162"/>
      </c:barChart>
      <c:catAx>
        <c:axId val="1351822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Docent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832162"/>
      </c:catAx>
      <c:valAx>
        <c:axId val="1190832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Totale winst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822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Winst per lesuur versus Docent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'Docenten Prestaties'!$K$1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'Docenten Prestaties'!$I$2:$I$41</c:f>
            </c:strRef>
          </c:cat>
          <c:val>
            <c:numRef>
              <c:f>'Docenten Prestaties'!$K$2:$K$41</c:f>
              <c:numCache/>
            </c:numRef>
          </c:val>
        </c:ser>
        <c:axId val="86273970"/>
        <c:axId val="2072396102"/>
      </c:barChart>
      <c:catAx>
        <c:axId val="86273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Docent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396102"/>
      </c:catAx>
      <c:valAx>
        <c:axId val="2072396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Winst per lesuur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73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266700</xdr:colOff>
      <xdr:row>1</xdr:row>
      <xdr:rowOff>190500</xdr:rowOff>
    </xdr:from>
    <xdr:ext cx="7124700" cy="3533775"/>
    <xdr:graphicFrame>
      <xdr:nvGraphicFramePr>
        <xdr:cNvPr id="1131945910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266700</xdr:colOff>
      <xdr:row>22</xdr:row>
      <xdr:rowOff>76200</xdr:rowOff>
    </xdr:from>
    <xdr:ext cx="7124700" cy="3533775"/>
    <xdr:graphicFrame>
      <xdr:nvGraphicFramePr>
        <xdr:cNvPr id="1886110757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58" displayName="Table_1" name="Table_1" id="1">
  <tableColumns count="14">
    <tableColumn name="Classname" id="1"/>
    <tableColumn name="Teacher" id="2"/>
    <tableColumn name="Location" id="3"/>
    <tableColumn name="AmountStudents" id="4"/>
    <tableColumn name="Profit/Loss" id="5"/>
    <tableColumn name="Turnover" id="6"/>
    <tableColumn name="Supplement" id="7"/>
    <tableColumn name="Expense Teacher" id="8"/>
    <tableColumn name="Rent" id="9"/>
    <tableColumn name="Duration of Class" id="10"/>
    <tableColumn name="Turnover / student" id="11"/>
    <tableColumn name="Average Age" id="12"/>
    <tableColumn name="Day" id="13"/>
    <tableColumn name="Classtime" id="14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59:N159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aste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1.25"/>
    <col customWidth="1" min="2" max="2" width="16.88"/>
    <col customWidth="1" min="4" max="4" width="19.0"/>
    <col customWidth="1" min="5" max="5" width="19.13"/>
    <col customWidth="1" min="6" max="6" width="13.88"/>
    <col customWidth="1" min="7" max="7" width="18.25"/>
    <col customWidth="1" min="8" max="8" width="20.38"/>
    <col customWidth="1" min="9" max="9" width="15.75"/>
    <col customWidth="1" min="10" max="10" width="15.38"/>
    <col customWidth="1" min="11" max="11" width="20.88"/>
    <col customWidth="1" min="12" max="12" width="21.0"/>
    <col customWidth="1" min="14" max="14" width="14.1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14</v>
      </c>
      <c r="B2" s="6" t="s">
        <v>15</v>
      </c>
      <c r="C2" s="6" t="s">
        <v>16</v>
      </c>
      <c r="D2" s="6">
        <v>3.0</v>
      </c>
      <c r="E2" s="7">
        <f t="shared" ref="E2:E159" si="1">(F2+G2)-(H2+I2)</f>
        <v>-40.39893204</v>
      </c>
      <c r="F2" s="8">
        <v>9.97</v>
      </c>
      <c r="G2" s="9">
        <v>0.0</v>
      </c>
      <c r="H2" s="10">
        <f>IFERROR(VLOOKUP(B2, 'Kosten Docenten'!A:B, 2, FALSE), "")*J2</f>
        <v>35</v>
      </c>
      <c r="I2" s="10">
        <f>IFERROR(VLOOKUP(C2, 'Kosten Locatie'!A:B, 2, FALSE), "")*J2</f>
        <v>15.36893204</v>
      </c>
      <c r="J2" s="11">
        <v>1.0</v>
      </c>
      <c r="K2" s="12">
        <v>3.32</v>
      </c>
      <c r="L2" s="13"/>
      <c r="M2" s="14" t="s">
        <v>17</v>
      </c>
      <c r="N2" s="15">
        <v>0.75</v>
      </c>
    </row>
    <row r="3" ht="15.75" customHeight="1">
      <c r="A3" s="6" t="s">
        <v>18</v>
      </c>
      <c r="B3" s="6" t="s">
        <v>19</v>
      </c>
      <c r="C3" s="6" t="s">
        <v>16</v>
      </c>
      <c r="D3" s="6">
        <v>10.0</v>
      </c>
      <c r="E3" s="7">
        <f t="shared" si="1"/>
        <v>-37.941895</v>
      </c>
      <c r="F3" s="8">
        <v>45.87</v>
      </c>
      <c r="G3" s="9">
        <v>0.0</v>
      </c>
      <c r="H3" s="10">
        <f>IFERROR(VLOOKUP(B3, 'Kosten Docenten'!A:B, 2, FALSE), "")*J3</f>
        <v>68.44296296</v>
      </c>
      <c r="I3" s="10">
        <f>IFERROR(VLOOKUP(C3, 'Kosten Locatie'!A:B, 2, FALSE), "")*J3</f>
        <v>15.36893204</v>
      </c>
      <c r="J3" s="11">
        <v>1.0</v>
      </c>
      <c r="K3" s="12">
        <v>4.59</v>
      </c>
      <c r="L3" s="13"/>
      <c r="M3" s="14" t="s">
        <v>20</v>
      </c>
      <c r="N3" s="15">
        <v>0.8125</v>
      </c>
    </row>
    <row r="4" ht="15.75" customHeight="1">
      <c r="A4" s="6" t="s">
        <v>21</v>
      </c>
      <c r="B4" s="6" t="s">
        <v>22</v>
      </c>
      <c r="C4" s="6" t="s">
        <v>23</v>
      </c>
      <c r="D4" s="6">
        <v>5.0</v>
      </c>
      <c r="E4" s="7">
        <f t="shared" si="1"/>
        <v>-35.96712821</v>
      </c>
      <c r="F4" s="8">
        <v>40.99</v>
      </c>
      <c r="G4" s="9">
        <v>0.0</v>
      </c>
      <c r="H4" s="10">
        <f>IFERROR(VLOOKUP(B4, 'Kosten Docenten'!A:B, 2, FALSE), "")*J4</f>
        <v>62.57666667</v>
      </c>
      <c r="I4" s="10">
        <f>IFERROR(VLOOKUP(C4, 'Kosten Locatie'!A:B, 2, FALSE), "")*J4</f>
        <v>14.38046154</v>
      </c>
      <c r="J4" s="11">
        <v>1.0</v>
      </c>
      <c r="K4" s="12">
        <v>8.2</v>
      </c>
      <c r="L4" s="13"/>
      <c r="M4" s="14" t="s">
        <v>24</v>
      </c>
      <c r="N4" s="15">
        <v>0.7708333333333334</v>
      </c>
    </row>
    <row r="5" ht="15.75" customHeight="1">
      <c r="A5" s="6" t="s">
        <v>25</v>
      </c>
      <c r="B5" s="6" t="s">
        <v>26</v>
      </c>
      <c r="C5" s="6" t="s">
        <v>16</v>
      </c>
      <c r="D5" s="6">
        <v>7.0</v>
      </c>
      <c r="E5" s="7">
        <f t="shared" si="1"/>
        <v>-28.19226537</v>
      </c>
      <c r="F5" s="8">
        <v>36.65</v>
      </c>
      <c r="G5" s="9">
        <v>0.0</v>
      </c>
      <c r="H5" s="10">
        <f>IFERROR(VLOOKUP(B5, 'Kosten Docenten'!A:B, 2, FALSE), "")*J5</f>
        <v>49.47333333</v>
      </c>
      <c r="I5" s="10">
        <f>IFERROR(VLOOKUP(C5, 'Kosten Locatie'!A:B, 2, FALSE), "")*J5</f>
        <v>15.36893204</v>
      </c>
      <c r="J5" s="11">
        <v>1.0</v>
      </c>
      <c r="K5" s="12">
        <v>5.24</v>
      </c>
      <c r="L5" s="13"/>
      <c r="M5" s="14" t="s">
        <v>24</v>
      </c>
      <c r="N5" s="15">
        <v>0.75</v>
      </c>
    </row>
    <row r="6" ht="15.75" customHeight="1">
      <c r="A6" s="16" t="s">
        <v>27</v>
      </c>
      <c r="B6" s="16" t="s">
        <v>28</v>
      </c>
      <c r="C6" s="16" t="s">
        <v>16</v>
      </c>
      <c r="D6" s="16">
        <v>5.0</v>
      </c>
      <c r="E6" s="7">
        <f t="shared" si="1"/>
        <v>-25.73116505</v>
      </c>
      <c r="F6" s="17">
        <v>18.48</v>
      </c>
      <c r="G6" s="18">
        <v>0.0</v>
      </c>
      <c r="H6" s="19">
        <f>IFERROR(VLOOKUP(B6, 'Kosten Docenten'!A:B, 2, FALSE), "")*J6</f>
        <v>25</v>
      </c>
      <c r="I6" s="19">
        <f>IFERROR(VLOOKUP(C6, 'Kosten Locatie'!A:B, 2, FALSE), "")*J6</f>
        <v>19.21116505</v>
      </c>
      <c r="J6" s="11">
        <v>1.25</v>
      </c>
      <c r="K6" s="12">
        <v>3.7</v>
      </c>
      <c r="L6" s="13"/>
      <c r="M6" s="14" t="s">
        <v>20</v>
      </c>
      <c r="N6" s="15">
        <v>0.8333333333333334</v>
      </c>
    </row>
    <row r="7" ht="15.75" customHeight="1">
      <c r="A7" s="16" t="s">
        <v>29</v>
      </c>
      <c r="B7" s="16" t="s">
        <v>30</v>
      </c>
      <c r="C7" s="16" t="s">
        <v>16</v>
      </c>
      <c r="D7" s="16">
        <v>7.0</v>
      </c>
      <c r="E7" s="7">
        <f t="shared" si="1"/>
        <v>-25.415751</v>
      </c>
      <c r="F7" s="17">
        <v>59.6</v>
      </c>
      <c r="G7" s="18">
        <v>23.92</v>
      </c>
      <c r="H7" s="19">
        <f>IFERROR(VLOOKUP(B7, 'Kosten Docenten'!A:B, 2, FALSE), "")*J7</f>
        <v>85.88235294</v>
      </c>
      <c r="I7" s="19">
        <f>IFERROR(VLOOKUP(C7, 'Kosten Locatie'!A:B, 2, FALSE), "")*J7</f>
        <v>23.05339806</v>
      </c>
      <c r="J7" s="11">
        <v>1.5</v>
      </c>
      <c r="K7" s="12">
        <v>8.51</v>
      </c>
      <c r="L7" s="13"/>
      <c r="M7" s="14" t="s">
        <v>31</v>
      </c>
      <c r="N7" s="15">
        <v>0.75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16" t="s">
        <v>32</v>
      </c>
      <c r="B8" s="16" t="s">
        <v>30</v>
      </c>
      <c r="C8" s="16" t="s">
        <v>16</v>
      </c>
      <c r="D8" s="16">
        <v>11.0</v>
      </c>
      <c r="E8" s="7">
        <f t="shared" si="1"/>
        <v>-22.765751</v>
      </c>
      <c r="F8" s="17">
        <v>60.42</v>
      </c>
      <c r="G8" s="18">
        <v>25.75</v>
      </c>
      <c r="H8" s="19">
        <f>IFERROR(VLOOKUP(B8, 'Kosten Docenten'!A:B, 2, FALSE), "")*J8</f>
        <v>85.88235294</v>
      </c>
      <c r="I8" s="19">
        <f>IFERROR(VLOOKUP(C8, 'Kosten Locatie'!A:B, 2, FALSE), "")*J8</f>
        <v>23.05339806</v>
      </c>
      <c r="J8" s="11">
        <v>1.5</v>
      </c>
      <c r="K8" s="12">
        <v>5.49</v>
      </c>
      <c r="L8" s="13"/>
      <c r="M8" s="14" t="s">
        <v>31</v>
      </c>
      <c r="N8" s="15">
        <v>0.8125</v>
      </c>
    </row>
    <row r="9" ht="15.75" customHeight="1">
      <c r="A9" s="6" t="s">
        <v>33</v>
      </c>
      <c r="B9" s="6" t="s">
        <v>19</v>
      </c>
      <c r="C9" s="6" t="s">
        <v>16</v>
      </c>
      <c r="D9" s="6">
        <v>23.0</v>
      </c>
      <c r="E9" s="7">
        <f t="shared" si="1"/>
        <v>-21.531895</v>
      </c>
      <c r="F9" s="8">
        <v>62.28</v>
      </c>
      <c r="G9" s="9">
        <v>0.0</v>
      </c>
      <c r="H9" s="10">
        <f>IFERROR(VLOOKUP(B9, 'Kosten Docenten'!A:B, 2, FALSE), "")*J9</f>
        <v>68.44296296</v>
      </c>
      <c r="I9" s="10">
        <f>IFERROR(VLOOKUP(C9, 'Kosten Locatie'!A:B, 2, FALSE), "")*J9</f>
        <v>15.36893204</v>
      </c>
      <c r="J9" s="11">
        <v>1.0</v>
      </c>
      <c r="K9" s="12">
        <v>2.71</v>
      </c>
      <c r="L9" s="13"/>
      <c r="M9" s="14" t="s">
        <v>20</v>
      </c>
      <c r="N9" s="15">
        <v>0.7708333333333334</v>
      </c>
    </row>
    <row r="10" ht="15.75" customHeight="1">
      <c r="A10" s="6" t="s">
        <v>34</v>
      </c>
      <c r="B10" s="6" t="s">
        <v>19</v>
      </c>
      <c r="C10" s="6" t="s">
        <v>16</v>
      </c>
      <c r="D10" s="6">
        <v>17.0</v>
      </c>
      <c r="E10" s="7">
        <f t="shared" si="1"/>
        <v>-20.6578425</v>
      </c>
      <c r="F10" s="8">
        <v>82.85</v>
      </c>
      <c r="G10" s="9">
        <v>22.21</v>
      </c>
      <c r="H10" s="10">
        <f>IFERROR(VLOOKUP(B10, 'Kosten Docenten'!A:B, 2, FALSE), "")*J10</f>
        <v>102.6644444</v>
      </c>
      <c r="I10" s="10">
        <f>IFERROR(VLOOKUP(C10, 'Kosten Locatie'!A:B, 2, FALSE), "")*J10</f>
        <v>23.05339806</v>
      </c>
      <c r="J10" s="11">
        <v>1.5</v>
      </c>
      <c r="K10" s="12">
        <v>4.87</v>
      </c>
      <c r="L10" s="13"/>
      <c r="M10" s="14" t="s">
        <v>35</v>
      </c>
      <c r="N10" s="15">
        <v>0.78125</v>
      </c>
    </row>
    <row r="11" ht="15.75" customHeight="1">
      <c r="A11" s="6" t="s">
        <v>36</v>
      </c>
      <c r="B11" s="6" t="s">
        <v>22</v>
      </c>
      <c r="C11" s="6" t="s">
        <v>23</v>
      </c>
      <c r="D11" s="6">
        <v>9.0</v>
      </c>
      <c r="E11" s="7">
        <f t="shared" si="1"/>
        <v>-17.46712821</v>
      </c>
      <c r="F11" s="8">
        <v>59.49</v>
      </c>
      <c r="G11" s="9">
        <v>0.0</v>
      </c>
      <c r="H11" s="10">
        <f>IFERROR(VLOOKUP(B11, 'Kosten Docenten'!A:B, 2, FALSE), "")*J11</f>
        <v>62.57666667</v>
      </c>
      <c r="I11" s="10">
        <f>IFERROR(VLOOKUP(C11, 'Kosten Locatie'!A:B, 2, FALSE), "")*J11</f>
        <v>14.38046154</v>
      </c>
      <c r="J11" s="11">
        <v>1.0</v>
      </c>
      <c r="K11" s="12">
        <v>6.61</v>
      </c>
      <c r="L11" s="13"/>
      <c r="M11" s="14" t="s">
        <v>24</v>
      </c>
      <c r="N11" s="15">
        <v>0.8125</v>
      </c>
    </row>
    <row r="12" ht="15.75" customHeight="1">
      <c r="A12" s="6" t="s">
        <v>37</v>
      </c>
      <c r="B12" s="6" t="s">
        <v>38</v>
      </c>
      <c r="C12" s="6" t="s">
        <v>16</v>
      </c>
      <c r="D12" s="6">
        <v>3.0</v>
      </c>
      <c r="E12" s="7">
        <f t="shared" si="1"/>
        <v>-16.03893204</v>
      </c>
      <c r="F12" s="8">
        <v>14.33</v>
      </c>
      <c r="G12" s="9">
        <v>0.0</v>
      </c>
      <c r="H12" s="10">
        <f>IFERROR(VLOOKUP(B12, 'Kosten Docenten'!A:B, 2, FALSE), "")*J12</f>
        <v>15</v>
      </c>
      <c r="I12" s="10">
        <f>IFERROR(VLOOKUP(C12, 'Kosten Locatie'!A:B, 2, FALSE), "")*J12</f>
        <v>15.36893204</v>
      </c>
      <c r="J12" s="11">
        <v>1.0</v>
      </c>
      <c r="K12" s="12">
        <v>4.78</v>
      </c>
      <c r="L12" s="13"/>
      <c r="M12" s="14" t="s">
        <v>24</v>
      </c>
      <c r="N12" s="15">
        <v>0.7083333333333334</v>
      </c>
    </row>
    <row r="13" ht="15.75" customHeight="1">
      <c r="A13" s="6" t="s">
        <v>39</v>
      </c>
      <c r="B13" s="6" t="s">
        <v>40</v>
      </c>
      <c r="C13" s="6" t="s">
        <v>41</v>
      </c>
      <c r="D13" s="6">
        <v>10.0</v>
      </c>
      <c r="E13" s="7">
        <f t="shared" si="1"/>
        <v>-13.05130178</v>
      </c>
      <c r="F13" s="8">
        <v>61.89</v>
      </c>
      <c r="G13" s="9">
        <v>2.68</v>
      </c>
      <c r="H13" s="10">
        <f>IFERROR(VLOOKUP(B13, 'Kosten Docenten'!A:B, 2, FALSE), "")*J13</f>
        <v>55</v>
      </c>
      <c r="I13" s="10">
        <f>IFERROR(VLOOKUP(C13, 'Kosten Locatie'!A:B, 2, FALSE), "")*J13</f>
        <v>22.62130178</v>
      </c>
      <c r="J13" s="11">
        <v>1.0</v>
      </c>
      <c r="K13" s="12">
        <v>6.19</v>
      </c>
      <c r="L13" s="13"/>
      <c r="M13" s="14" t="s">
        <v>17</v>
      </c>
      <c r="N13" s="15">
        <v>0.7708333333333334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16" t="s">
        <v>42</v>
      </c>
      <c r="B14" s="16" t="s">
        <v>43</v>
      </c>
      <c r="C14" s="16" t="s">
        <v>16</v>
      </c>
      <c r="D14" s="16">
        <v>5.0</v>
      </c>
      <c r="E14" s="7">
        <f t="shared" si="1"/>
        <v>-11.74264784</v>
      </c>
      <c r="F14" s="17">
        <v>22.76</v>
      </c>
      <c r="G14" s="18">
        <v>0.0</v>
      </c>
      <c r="H14" s="19">
        <f>IFERROR(VLOOKUP(B14, 'Kosten Docenten'!A:B, 2, FALSE), "")*J14</f>
        <v>26.81818182</v>
      </c>
      <c r="I14" s="19">
        <f>IFERROR(VLOOKUP(C14, 'Kosten Locatie'!A:B, 2, FALSE), "")*J14</f>
        <v>7.684466019</v>
      </c>
      <c r="J14" s="11">
        <v>0.5</v>
      </c>
      <c r="K14" s="12">
        <v>4.55</v>
      </c>
      <c r="L14" s="13"/>
      <c r="M14" s="14" t="s">
        <v>17</v>
      </c>
      <c r="N14" s="15">
        <v>0.8958333333333334</v>
      </c>
    </row>
    <row r="15" ht="15.75" customHeight="1">
      <c r="A15" s="6" t="s">
        <v>44</v>
      </c>
      <c r="B15" s="6" t="s">
        <v>40</v>
      </c>
      <c r="C15" s="6" t="s">
        <v>16</v>
      </c>
      <c r="D15" s="6">
        <v>4.0</v>
      </c>
      <c r="E15" s="7">
        <f t="shared" si="1"/>
        <v>-11.38446602</v>
      </c>
      <c r="F15" s="8">
        <v>13.66</v>
      </c>
      <c r="G15" s="9">
        <v>10.14</v>
      </c>
      <c r="H15" s="10">
        <f>IFERROR(VLOOKUP(B15, 'Kosten Docenten'!A:B, 2, FALSE), "")*J15</f>
        <v>27.5</v>
      </c>
      <c r="I15" s="10">
        <f>IFERROR(VLOOKUP(C15, 'Kosten Locatie'!A:B, 2, FALSE), "")*J15</f>
        <v>7.684466019</v>
      </c>
      <c r="J15" s="11">
        <v>0.5</v>
      </c>
      <c r="K15" s="12">
        <v>3.42</v>
      </c>
      <c r="L15" s="13"/>
      <c r="M15" s="14" t="s">
        <v>31</v>
      </c>
      <c r="N15" s="15">
        <v>0.8541666666666666</v>
      </c>
    </row>
    <row r="16" ht="15.75" customHeight="1">
      <c r="A16" s="6" t="s">
        <v>45</v>
      </c>
      <c r="B16" s="6" t="s">
        <v>15</v>
      </c>
      <c r="C16" s="6" t="s">
        <v>16</v>
      </c>
      <c r="D16" s="6">
        <v>6.0</v>
      </c>
      <c r="E16" s="7">
        <f t="shared" si="1"/>
        <v>-10.88893204</v>
      </c>
      <c r="F16" s="8">
        <v>39.48</v>
      </c>
      <c r="G16" s="9">
        <v>0.0</v>
      </c>
      <c r="H16" s="10">
        <f>IFERROR(VLOOKUP(B16, 'Kosten Docenten'!A:B, 2, FALSE), "")*J16</f>
        <v>35</v>
      </c>
      <c r="I16" s="10">
        <f>IFERROR(VLOOKUP(C16, 'Kosten Locatie'!A:B, 2, FALSE), "")*J16</f>
        <v>15.36893204</v>
      </c>
      <c r="J16" s="11">
        <v>1.0</v>
      </c>
      <c r="K16" s="12">
        <v>6.58</v>
      </c>
      <c r="L16" s="13"/>
      <c r="M16" s="14" t="s">
        <v>24</v>
      </c>
      <c r="N16" s="15">
        <v>0.875</v>
      </c>
    </row>
    <row r="17" ht="15.75" customHeight="1">
      <c r="A17" s="6" t="s">
        <v>46</v>
      </c>
      <c r="B17" s="6" t="s">
        <v>40</v>
      </c>
      <c r="C17" s="6" t="s">
        <v>41</v>
      </c>
      <c r="D17" s="6">
        <v>2.0</v>
      </c>
      <c r="E17" s="7">
        <f t="shared" si="1"/>
        <v>-10.59532544</v>
      </c>
      <c r="F17" s="8">
        <v>5.99</v>
      </c>
      <c r="G17" s="9">
        <v>2.82</v>
      </c>
      <c r="H17" s="10">
        <f>IFERROR(VLOOKUP(B17, 'Kosten Docenten'!A:B, 2, FALSE), "")*J17</f>
        <v>13.75</v>
      </c>
      <c r="I17" s="10">
        <f>IFERROR(VLOOKUP(C17, 'Kosten Locatie'!A:B, 2, FALSE), "")*J17</f>
        <v>5.655325444</v>
      </c>
      <c r="J17" s="11">
        <v>0.25</v>
      </c>
      <c r="K17" s="12">
        <v>3.0</v>
      </c>
      <c r="L17" s="13"/>
      <c r="M17" s="14" t="s">
        <v>17</v>
      </c>
      <c r="N17" s="15">
        <v>0.8125</v>
      </c>
    </row>
    <row r="18" ht="15.75" customHeight="1">
      <c r="A18" s="6" t="s">
        <v>47</v>
      </c>
      <c r="B18" s="6" t="s">
        <v>30</v>
      </c>
      <c r="C18" s="6" t="s">
        <v>16</v>
      </c>
      <c r="D18" s="6">
        <v>15.0</v>
      </c>
      <c r="E18" s="7">
        <f t="shared" si="1"/>
        <v>-10.483834</v>
      </c>
      <c r="F18" s="8">
        <v>62.14</v>
      </c>
      <c r="G18" s="9">
        <v>0.0</v>
      </c>
      <c r="H18" s="10">
        <f>IFERROR(VLOOKUP(B18, 'Kosten Docenten'!A:B, 2, FALSE), "")*J18</f>
        <v>57.25490196</v>
      </c>
      <c r="I18" s="10">
        <f>IFERROR(VLOOKUP(C18, 'Kosten Locatie'!A:B, 2, FALSE), "")*J18</f>
        <v>15.36893204</v>
      </c>
      <c r="J18" s="11">
        <v>1.0</v>
      </c>
      <c r="K18" s="12">
        <v>4.14</v>
      </c>
      <c r="L18" s="13"/>
      <c r="M18" s="14" t="s">
        <v>31</v>
      </c>
      <c r="N18" s="15">
        <v>0.6979166666666666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6" t="s">
        <v>48</v>
      </c>
      <c r="B19" s="6" t="s">
        <v>49</v>
      </c>
      <c r="C19" s="6" t="s">
        <v>16</v>
      </c>
      <c r="D19" s="6">
        <v>9.0</v>
      </c>
      <c r="E19" s="7">
        <f t="shared" si="1"/>
        <v>-9.592265372</v>
      </c>
      <c r="F19" s="8">
        <v>49.11</v>
      </c>
      <c r="G19" s="9">
        <v>0.0</v>
      </c>
      <c r="H19" s="10">
        <f>IFERROR(VLOOKUP(B19, 'Kosten Docenten'!A:B, 2, FALSE), "")*J19</f>
        <v>43.33333333</v>
      </c>
      <c r="I19" s="10">
        <f>IFERROR(VLOOKUP(C19, 'Kosten Locatie'!A:B, 2, FALSE), "")*J19</f>
        <v>15.36893204</v>
      </c>
      <c r="J19" s="11">
        <v>1.0</v>
      </c>
      <c r="K19" s="12">
        <v>5.46</v>
      </c>
      <c r="L19" s="13"/>
      <c r="M19" s="14" t="s">
        <v>31</v>
      </c>
      <c r="N19" s="15">
        <v>0.7083333333333334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6" t="s">
        <v>50</v>
      </c>
      <c r="B20" s="6" t="s">
        <v>51</v>
      </c>
      <c r="C20" s="6" t="s">
        <v>16</v>
      </c>
      <c r="D20" s="6">
        <v>5.0</v>
      </c>
      <c r="E20" s="7">
        <f t="shared" si="1"/>
        <v>-8.068932039</v>
      </c>
      <c r="F20" s="8">
        <v>24.8</v>
      </c>
      <c r="G20" s="9">
        <v>0.0</v>
      </c>
      <c r="H20" s="10">
        <f>IFERROR(VLOOKUP(B20, 'Kosten Docenten'!A:B, 2, FALSE), "")*J20</f>
        <v>17.5</v>
      </c>
      <c r="I20" s="10">
        <f>IFERROR(VLOOKUP(C20, 'Kosten Locatie'!A:B, 2, FALSE), "")*J20</f>
        <v>15.36893204</v>
      </c>
      <c r="J20" s="11">
        <v>1.0</v>
      </c>
      <c r="K20" s="12">
        <v>4.96</v>
      </c>
      <c r="L20" s="13"/>
      <c r="M20" s="14" t="s">
        <v>52</v>
      </c>
      <c r="N20" s="15">
        <v>0.5</v>
      </c>
    </row>
    <row r="21" ht="15.75" customHeight="1">
      <c r="A21" s="6" t="s">
        <v>53</v>
      </c>
      <c r="B21" s="6" t="s">
        <v>54</v>
      </c>
      <c r="C21" s="6" t="s">
        <v>16</v>
      </c>
      <c r="D21" s="6">
        <v>14.0</v>
      </c>
      <c r="E21" s="7">
        <f t="shared" si="1"/>
        <v>-7.881154261</v>
      </c>
      <c r="F21" s="8">
        <v>53.71</v>
      </c>
      <c r="G21" s="9">
        <v>0.0</v>
      </c>
      <c r="H21" s="10">
        <f>IFERROR(VLOOKUP(B21, 'Kosten Docenten'!A:B, 2, FALSE), "")*J21</f>
        <v>46.22222222</v>
      </c>
      <c r="I21" s="10">
        <f>IFERROR(VLOOKUP(C21, 'Kosten Locatie'!A:B, 2, FALSE), "")*J21</f>
        <v>15.36893204</v>
      </c>
      <c r="J21" s="11">
        <v>1.0</v>
      </c>
      <c r="K21" s="12">
        <v>3.84</v>
      </c>
      <c r="L21" s="13"/>
      <c r="M21" s="14" t="s">
        <v>17</v>
      </c>
      <c r="N21" s="15">
        <v>0.6875</v>
      </c>
    </row>
    <row r="22" ht="15.75" customHeight="1">
      <c r="A22" s="6" t="s">
        <v>55</v>
      </c>
      <c r="B22" s="21" t="s">
        <v>19</v>
      </c>
      <c r="C22" s="6" t="s">
        <v>16</v>
      </c>
      <c r="D22" s="6">
        <v>15.0</v>
      </c>
      <c r="E22" s="7">
        <f t="shared" si="1"/>
        <v>-7.844868752</v>
      </c>
      <c r="F22" s="8">
        <v>75.2</v>
      </c>
      <c r="G22" s="9">
        <v>21.72</v>
      </c>
      <c r="H22" s="10">
        <f>IFERROR(VLOOKUP(B22, 'Kosten Docenten'!A:B, 2, FALSE), "")*J22</f>
        <v>85.5537037</v>
      </c>
      <c r="I22" s="10">
        <f>IFERROR(VLOOKUP(C22, 'Kosten Locatie'!A:B, 2, FALSE), "")*J22</f>
        <v>19.21116505</v>
      </c>
      <c r="J22" s="11">
        <v>1.25</v>
      </c>
      <c r="K22" s="12">
        <v>5.01</v>
      </c>
      <c r="L22" s="13"/>
      <c r="M22" s="14" t="s">
        <v>35</v>
      </c>
      <c r="N22" s="15">
        <v>0.7291666666666666</v>
      </c>
    </row>
    <row r="23" ht="15.75" customHeight="1">
      <c r="A23" s="6" t="s">
        <v>56</v>
      </c>
      <c r="B23" s="6" t="s">
        <v>57</v>
      </c>
      <c r="C23" s="6" t="s">
        <v>16</v>
      </c>
      <c r="D23" s="6">
        <v>8.0</v>
      </c>
      <c r="E23" s="7">
        <f t="shared" si="1"/>
        <v>-7.028932039</v>
      </c>
      <c r="F23" s="8">
        <v>33.34</v>
      </c>
      <c r="G23" s="9">
        <v>0.0</v>
      </c>
      <c r="H23" s="10">
        <f>IFERROR(VLOOKUP(B23, 'Kosten Docenten'!A:B, 2, FALSE), "")*J23</f>
        <v>25</v>
      </c>
      <c r="I23" s="10">
        <f>IFERROR(VLOOKUP(C23, 'Kosten Locatie'!A:B, 2, FALSE), "")*J23</f>
        <v>15.36893204</v>
      </c>
      <c r="J23" s="11">
        <v>1.0</v>
      </c>
      <c r="K23" s="12">
        <v>4.17</v>
      </c>
      <c r="L23" s="13"/>
      <c r="M23" s="14" t="s">
        <v>52</v>
      </c>
      <c r="N23" s="15">
        <v>0.5416666666666666</v>
      </c>
    </row>
    <row r="24" ht="15.75" customHeight="1">
      <c r="A24" s="6" t="s">
        <v>58</v>
      </c>
      <c r="B24" s="6" t="s">
        <v>49</v>
      </c>
      <c r="C24" s="6" t="s">
        <v>16</v>
      </c>
      <c r="D24" s="6">
        <v>6.0</v>
      </c>
      <c r="E24" s="7">
        <f t="shared" si="1"/>
        <v>-4.312265372</v>
      </c>
      <c r="F24" s="8">
        <v>54.39</v>
      </c>
      <c r="G24" s="9">
        <v>0.0</v>
      </c>
      <c r="H24" s="10">
        <f>IFERROR(VLOOKUP(B24, 'Kosten Docenten'!A:B, 2, FALSE), "")*J24</f>
        <v>43.33333333</v>
      </c>
      <c r="I24" s="10">
        <f>IFERROR(VLOOKUP(C24, 'Kosten Locatie'!A:B, 2, FALSE), "")*J24</f>
        <v>15.36893204</v>
      </c>
      <c r="J24" s="11">
        <v>1.0</v>
      </c>
      <c r="K24" s="12">
        <v>9.07</v>
      </c>
      <c r="L24" s="13"/>
      <c r="M24" s="14" t="s">
        <v>31</v>
      </c>
      <c r="N24" s="15">
        <v>0.6666666666666666</v>
      </c>
    </row>
    <row r="25" ht="15.75" customHeight="1">
      <c r="A25" s="6" t="s">
        <v>59</v>
      </c>
      <c r="B25" s="6" t="s">
        <v>26</v>
      </c>
      <c r="C25" s="6" t="s">
        <v>16</v>
      </c>
      <c r="D25" s="6">
        <v>13.0</v>
      </c>
      <c r="E25" s="7">
        <f t="shared" si="1"/>
        <v>-4.292265372</v>
      </c>
      <c r="F25" s="8">
        <v>60.55</v>
      </c>
      <c r="G25" s="9">
        <v>0.0</v>
      </c>
      <c r="H25" s="10">
        <f>IFERROR(VLOOKUP(B25, 'Kosten Docenten'!A:B, 2, FALSE), "")*J25</f>
        <v>49.47333333</v>
      </c>
      <c r="I25" s="10">
        <f>IFERROR(VLOOKUP(C25, 'Kosten Locatie'!A:B, 2, FALSE), "")*J25</f>
        <v>15.36893204</v>
      </c>
      <c r="J25" s="11">
        <v>1.0</v>
      </c>
      <c r="K25" s="12">
        <v>4.66</v>
      </c>
      <c r="L25" s="13"/>
      <c r="M25" s="14" t="s">
        <v>24</v>
      </c>
      <c r="N25" s="15">
        <v>0.8333333333333334</v>
      </c>
    </row>
    <row r="26" ht="15.75" customHeight="1">
      <c r="A26" s="6" t="s">
        <v>60</v>
      </c>
      <c r="B26" s="6" t="s">
        <v>51</v>
      </c>
      <c r="C26" s="6" t="s">
        <v>16</v>
      </c>
      <c r="D26" s="6">
        <v>7.0</v>
      </c>
      <c r="E26" s="7">
        <f t="shared" si="1"/>
        <v>1.031067961</v>
      </c>
      <c r="F26" s="8">
        <v>33.9</v>
      </c>
      <c r="G26" s="9">
        <v>0.0</v>
      </c>
      <c r="H26" s="10">
        <f>IFERROR(VLOOKUP(B26, 'Kosten Docenten'!A:B, 2, FALSE), "")*J26</f>
        <v>17.5</v>
      </c>
      <c r="I26" s="10">
        <f>IFERROR(VLOOKUP(C26, 'Kosten Locatie'!A:B, 2, FALSE), "")*J26</f>
        <v>15.36893204</v>
      </c>
      <c r="J26" s="11">
        <v>1.0</v>
      </c>
      <c r="K26" s="12">
        <v>4.84</v>
      </c>
      <c r="L26" s="13"/>
      <c r="M26" s="14" t="s">
        <v>52</v>
      </c>
      <c r="N26" s="15">
        <v>0.5416666666666666</v>
      </c>
    </row>
    <row r="27" ht="15.75" customHeight="1">
      <c r="A27" s="6" t="s">
        <v>61</v>
      </c>
      <c r="B27" s="6" t="s">
        <v>62</v>
      </c>
      <c r="C27" s="6" t="s">
        <v>41</v>
      </c>
      <c r="D27" s="6">
        <v>6.0</v>
      </c>
      <c r="E27" s="7">
        <f t="shared" si="1"/>
        <v>1.808698225</v>
      </c>
      <c r="F27" s="8">
        <v>50.68</v>
      </c>
      <c r="G27" s="9">
        <v>0.0</v>
      </c>
      <c r="H27" s="10">
        <f>IFERROR(VLOOKUP(B27, 'Kosten Docenten'!A:B, 2, FALSE), "")*J27</f>
        <v>26.25</v>
      </c>
      <c r="I27" s="10">
        <f>IFERROR(VLOOKUP(C27, 'Kosten Locatie'!A:B, 2, FALSE), "")*J27</f>
        <v>22.62130178</v>
      </c>
      <c r="J27" s="11">
        <v>1.0</v>
      </c>
      <c r="K27" s="12">
        <v>8.45</v>
      </c>
      <c r="L27" s="13"/>
      <c r="M27" s="14" t="s">
        <v>20</v>
      </c>
      <c r="N27" s="15">
        <v>0.75</v>
      </c>
    </row>
    <row r="28" ht="15.75" customHeight="1">
      <c r="A28" s="6" t="s">
        <v>63</v>
      </c>
      <c r="B28" s="6" t="s">
        <v>64</v>
      </c>
      <c r="C28" s="6" t="s">
        <v>65</v>
      </c>
      <c r="D28" s="6">
        <v>4.0</v>
      </c>
      <c r="E28" s="7">
        <f t="shared" si="1"/>
        <v>3.67</v>
      </c>
      <c r="F28" s="8">
        <v>32.72</v>
      </c>
      <c r="G28" s="9">
        <v>0.0</v>
      </c>
      <c r="H28" s="10">
        <f>IFERROR(VLOOKUP(B28, 'Kosten Docenten'!A:B, 2, FALSE), "")*J28</f>
        <v>10</v>
      </c>
      <c r="I28" s="10">
        <f>IFERROR(VLOOKUP(C28, 'Kosten Locatie'!A:B, 2, FALSE), "")*J28</f>
        <v>19.05</v>
      </c>
      <c r="J28" s="11">
        <v>1.0</v>
      </c>
      <c r="K28" s="12">
        <v>8.18</v>
      </c>
      <c r="L28" s="13"/>
      <c r="M28" s="14" t="s">
        <v>35</v>
      </c>
      <c r="N28" s="15">
        <v>0.625</v>
      </c>
    </row>
    <row r="29" ht="15.75" customHeight="1">
      <c r="A29" s="6" t="s">
        <v>66</v>
      </c>
      <c r="B29" s="6" t="s">
        <v>40</v>
      </c>
      <c r="C29" s="6" t="s">
        <v>41</v>
      </c>
      <c r="D29" s="6">
        <v>8.0</v>
      </c>
      <c r="E29" s="7">
        <f t="shared" si="1"/>
        <v>4.349349112</v>
      </c>
      <c r="F29" s="8">
        <v>26.11</v>
      </c>
      <c r="G29" s="9">
        <v>17.05</v>
      </c>
      <c r="H29" s="10">
        <f>IFERROR(VLOOKUP(B29, 'Kosten Docenten'!A:B, 2, FALSE), "")*J29</f>
        <v>27.5</v>
      </c>
      <c r="I29" s="10">
        <f>IFERROR(VLOOKUP(C29, 'Kosten Locatie'!A:B, 2, FALSE), "")*J29</f>
        <v>11.31065089</v>
      </c>
      <c r="J29" s="11">
        <v>0.5</v>
      </c>
      <c r="K29" s="12">
        <v>3.26</v>
      </c>
      <c r="L29" s="13"/>
      <c r="M29" s="14" t="s">
        <v>17</v>
      </c>
      <c r="N29" s="15">
        <v>0.875</v>
      </c>
    </row>
    <row r="30" ht="15.75" customHeight="1">
      <c r="A30" s="6" t="s">
        <v>67</v>
      </c>
      <c r="B30" s="6" t="s">
        <v>68</v>
      </c>
      <c r="C30" s="6" t="s">
        <v>16</v>
      </c>
      <c r="D30" s="6">
        <v>7.0</v>
      </c>
      <c r="E30" s="7">
        <f t="shared" si="1"/>
        <v>5.641067961</v>
      </c>
      <c r="F30" s="8">
        <v>51.01</v>
      </c>
      <c r="G30" s="9">
        <v>0.0</v>
      </c>
      <c r="H30" s="10">
        <f>IFERROR(VLOOKUP(B30, 'Kosten Docenten'!A:B, 2, FALSE), "")*J30</f>
        <v>30</v>
      </c>
      <c r="I30" s="10">
        <f>IFERROR(VLOOKUP(C30, 'Kosten Locatie'!A:B, 2, FALSE), "")*J30</f>
        <v>15.36893204</v>
      </c>
      <c r="J30" s="11">
        <v>1.0</v>
      </c>
      <c r="K30" s="12">
        <v>7.29</v>
      </c>
      <c r="L30" s="13"/>
      <c r="M30" s="14" t="s">
        <v>24</v>
      </c>
      <c r="N30" s="15">
        <v>0.875</v>
      </c>
    </row>
    <row r="31" ht="15.75" customHeight="1">
      <c r="A31" s="6" t="s">
        <v>69</v>
      </c>
      <c r="B31" s="6" t="s">
        <v>43</v>
      </c>
      <c r="C31" s="6" t="s">
        <v>16</v>
      </c>
      <c r="D31" s="6">
        <v>18.0</v>
      </c>
      <c r="E31" s="7">
        <f t="shared" si="1"/>
        <v>8.433380406</v>
      </c>
      <c r="F31" s="8">
        <v>84.11</v>
      </c>
      <c r="G31" s="9">
        <v>10.58</v>
      </c>
      <c r="H31" s="10">
        <f>IFERROR(VLOOKUP(B31, 'Kosten Docenten'!A:B, 2, FALSE), "")*J31</f>
        <v>67.04545455</v>
      </c>
      <c r="I31" s="10">
        <f>IFERROR(VLOOKUP(C31, 'Kosten Locatie'!A:B, 2, FALSE), "")*J31</f>
        <v>19.21116505</v>
      </c>
      <c r="J31" s="11">
        <v>1.25</v>
      </c>
      <c r="K31" s="12">
        <v>4.67</v>
      </c>
      <c r="L31" s="13"/>
      <c r="M31" s="14" t="s">
        <v>17</v>
      </c>
      <c r="N31" s="15">
        <v>0.84375</v>
      </c>
    </row>
    <row r="32" ht="15.75" customHeight="1">
      <c r="A32" s="6" t="s">
        <v>70</v>
      </c>
      <c r="B32" s="6" t="s">
        <v>71</v>
      </c>
      <c r="C32" s="6" t="s">
        <v>16</v>
      </c>
      <c r="D32" s="6">
        <v>8.0</v>
      </c>
      <c r="E32" s="7">
        <f t="shared" si="1"/>
        <v>8.816067961</v>
      </c>
      <c r="F32" s="8">
        <v>62.9</v>
      </c>
      <c r="G32" s="9">
        <v>0.0</v>
      </c>
      <c r="H32" s="10">
        <f>IFERROR(VLOOKUP(B32, 'Kosten Docenten'!A:B, 2, FALSE), "")*J32</f>
        <v>38.715</v>
      </c>
      <c r="I32" s="10">
        <f>IFERROR(VLOOKUP(C32, 'Kosten Locatie'!A:B, 2, FALSE), "")*J32</f>
        <v>15.36893204</v>
      </c>
      <c r="J32" s="11">
        <v>1.0</v>
      </c>
      <c r="K32" s="12">
        <v>7.86</v>
      </c>
      <c r="L32" s="13"/>
      <c r="M32" s="14" t="s">
        <v>24</v>
      </c>
      <c r="N32" s="15">
        <v>0.8333333333333334</v>
      </c>
    </row>
    <row r="33" ht="15.75" customHeight="1">
      <c r="A33" s="6" t="s">
        <v>72</v>
      </c>
      <c r="B33" s="6" t="s">
        <v>73</v>
      </c>
      <c r="C33" s="6" t="s">
        <v>16</v>
      </c>
      <c r="D33" s="6">
        <v>8.0</v>
      </c>
      <c r="E33" s="7">
        <f t="shared" si="1"/>
        <v>10.76106796</v>
      </c>
      <c r="F33" s="8">
        <v>56.13</v>
      </c>
      <c r="G33" s="9">
        <v>0.0</v>
      </c>
      <c r="H33" s="10">
        <f>IFERROR(VLOOKUP(B33, 'Kosten Docenten'!A:B, 2, FALSE), "")*J33</f>
        <v>30</v>
      </c>
      <c r="I33" s="10">
        <f>IFERROR(VLOOKUP(C33, 'Kosten Locatie'!A:B, 2, FALSE), "")*J33</f>
        <v>15.36893204</v>
      </c>
      <c r="J33" s="11">
        <v>1.0</v>
      </c>
      <c r="K33" s="12">
        <v>7.02</v>
      </c>
      <c r="L33" s="13"/>
      <c r="M33" s="14" t="s">
        <v>52</v>
      </c>
      <c r="N33" s="15">
        <v>0.4166666666666667</v>
      </c>
    </row>
    <row r="34" ht="15.75" customHeight="1">
      <c r="A34" s="6" t="s">
        <v>74</v>
      </c>
      <c r="B34" s="6" t="s">
        <v>15</v>
      </c>
      <c r="C34" s="6" t="s">
        <v>16</v>
      </c>
      <c r="D34" s="6">
        <v>9.0</v>
      </c>
      <c r="E34" s="7">
        <f t="shared" si="1"/>
        <v>10.93106796</v>
      </c>
      <c r="F34" s="8">
        <v>61.3</v>
      </c>
      <c r="G34" s="9">
        <v>0.0</v>
      </c>
      <c r="H34" s="10">
        <f>IFERROR(VLOOKUP(B34, 'Kosten Docenten'!A:B, 2, FALSE), "")*J34</f>
        <v>35</v>
      </c>
      <c r="I34" s="10">
        <f>IFERROR(VLOOKUP(C34, 'Kosten Locatie'!A:B, 2, FALSE), "")*J34</f>
        <v>15.36893204</v>
      </c>
      <c r="J34" s="11">
        <v>1.0</v>
      </c>
      <c r="K34" s="12">
        <v>6.81</v>
      </c>
      <c r="L34" s="13"/>
      <c r="M34" s="14" t="s">
        <v>20</v>
      </c>
      <c r="N34" s="15">
        <v>0.625</v>
      </c>
    </row>
    <row r="35" ht="15.75" customHeight="1">
      <c r="A35" s="6" t="s">
        <v>75</v>
      </c>
      <c r="B35" s="6" t="s">
        <v>49</v>
      </c>
      <c r="C35" s="6" t="s">
        <v>16</v>
      </c>
      <c r="D35" s="6">
        <v>13.0</v>
      </c>
      <c r="E35" s="7">
        <f t="shared" si="1"/>
        <v>12.86773463</v>
      </c>
      <c r="F35" s="8">
        <v>71.57</v>
      </c>
      <c r="G35" s="9">
        <v>0.0</v>
      </c>
      <c r="H35" s="10">
        <f>IFERROR(VLOOKUP(B35, 'Kosten Docenten'!A:B, 2, FALSE), "")*J35</f>
        <v>43.33333333</v>
      </c>
      <c r="I35" s="10">
        <f>IFERROR(VLOOKUP(C35, 'Kosten Locatie'!A:B, 2, FALSE), "")*J35</f>
        <v>15.36893204</v>
      </c>
      <c r="J35" s="11">
        <v>1.0</v>
      </c>
      <c r="K35" s="12">
        <v>5.51</v>
      </c>
      <c r="L35" s="13"/>
      <c r="M35" s="14" t="s">
        <v>31</v>
      </c>
      <c r="N35" s="15">
        <v>0.75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16" t="s">
        <v>76</v>
      </c>
      <c r="B36" s="16" t="s">
        <v>77</v>
      </c>
      <c r="C36" s="16" t="s">
        <v>16</v>
      </c>
      <c r="D36" s="16">
        <v>8.0</v>
      </c>
      <c r="E36" s="7">
        <f t="shared" si="1"/>
        <v>13.15106796</v>
      </c>
      <c r="F36" s="17">
        <v>53.52</v>
      </c>
      <c r="G36" s="18">
        <v>0.0</v>
      </c>
      <c r="H36" s="19">
        <f>IFERROR(VLOOKUP(B36, 'Kosten Docenten'!A:B, 2, FALSE), "")*J36</f>
        <v>25</v>
      </c>
      <c r="I36" s="19">
        <f>IFERROR(VLOOKUP(C36, 'Kosten Locatie'!A:B, 2, FALSE), "")*J36</f>
        <v>15.36893204</v>
      </c>
      <c r="J36" s="11">
        <v>1.0</v>
      </c>
      <c r="K36" s="12">
        <v>6.69</v>
      </c>
      <c r="L36" s="13"/>
      <c r="M36" s="14" t="s">
        <v>17</v>
      </c>
      <c r="N36" s="15">
        <v>0.75</v>
      </c>
    </row>
    <row r="37" ht="15.75" customHeight="1">
      <c r="A37" s="6" t="s">
        <v>78</v>
      </c>
      <c r="B37" s="6" t="s">
        <v>40</v>
      </c>
      <c r="C37" s="6" t="s">
        <v>16</v>
      </c>
      <c r="D37" s="6">
        <v>14.0</v>
      </c>
      <c r="E37" s="7">
        <f t="shared" si="1"/>
        <v>14.63553398</v>
      </c>
      <c r="F37" s="8">
        <v>41.64</v>
      </c>
      <c r="G37" s="9">
        <v>8.18</v>
      </c>
      <c r="H37" s="10">
        <f>IFERROR(VLOOKUP(B37, 'Kosten Docenten'!A:B, 2, FALSE), "")*J37</f>
        <v>27.5</v>
      </c>
      <c r="I37" s="10">
        <f>IFERROR(VLOOKUP(C37, 'Kosten Locatie'!A:B, 2, FALSE), "")*J37</f>
        <v>7.684466019</v>
      </c>
      <c r="J37" s="11">
        <v>0.5</v>
      </c>
      <c r="K37" s="12">
        <v>2.97</v>
      </c>
      <c r="L37" s="13"/>
      <c r="M37" s="14" t="s">
        <v>31</v>
      </c>
      <c r="N37" s="15">
        <v>0.75</v>
      </c>
    </row>
    <row r="38" ht="15.75" customHeight="1">
      <c r="A38" s="6" t="s">
        <v>79</v>
      </c>
      <c r="B38" s="6" t="s">
        <v>80</v>
      </c>
      <c r="C38" s="6" t="s">
        <v>81</v>
      </c>
      <c r="D38" s="6">
        <v>7.0</v>
      </c>
      <c r="E38" s="7">
        <f t="shared" si="1"/>
        <v>14.82</v>
      </c>
      <c r="F38" s="8">
        <v>52.32</v>
      </c>
      <c r="G38" s="9">
        <v>0.0</v>
      </c>
      <c r="H38" s="10">
        <f>IFERROR(VLOOKUP(B38, 'Kosten Docenten'!A:B, 2, FALSE), "")*J38</f>
        <v>20</v>
      </c>
      <c r="I38" s="10">
        <f>IFERROR(VLOOKUP(C38, 'Kosten Locatie'!A:B, 2, FALSE), "")*J38</f>
        <v>17.5</v>
      </c>
      <c r="J38" s="11">
        <v>1.0</v>
      </c>
      <c r="K38" s="12">
        <v>7.47</v>
      </c>
      <c r="L38" s="13"/>
      <c r="M38" s="14" t="s">
        <v>17</v>
      </c>
      <c r="N38" s="15">
        <v>0.7083333333333334</v>
      </c>
    </row>
    <row r="39" ht="15.75" customHeight="1">
      <c r="A39" s="6" t="s">
        <v>82</v>
      </c>
      <c r="B39" s="6" t="s">
        <v>19</v>
      </c>
      <c r="C39" s="6" t="s">
        <v>16</v>
      </c>
      <c r="D39" s="6">
        <v>21.0</v>
      </c>
      <c r="E39" s="7">
        <f t="shared" si="1"/>
        <v>14.828105</v>
      </c>
      <c r="F39" s="8">
        <v>98.64</v>
      </c>
      <c r="G39" s="9">
        <v>0.0</v>
      </c>
      <c r="H39" s="10">
        <f>IFERROR(VLOOKUP(B39, 'Kosten Docenten'!A:B, 2, FALSE), "")*J39</f>
        <v>68.44296296</v>
      </c>
      <c r="I39" s="10">
        <f>IFERROR(VLOOKUP(C39, 'Kosten Locatie'!A:B, 2, FALSE), "")*J39</f>
        <v>15.36893204</v>
      </c>
      <c r="J39" s="11">
        <v>1.0</v>
      </c>
      <c r="K39" s="12">
        <v>4.7</v>
      </c>
      <c r="L39" s="13"/>
      <c r="M39" s="14" t="s">
        <v>20</v>
      </c>
      <c r="N39" s="15">
        <v>0.8541666666666666</v>
      </c>
    </row>
    <row r="40" ht="15.75" customHeight="1">
      <c r="A40" s="6" t="s">
        <v>83</v>
      </c>
      <c r="B40" s="6" t="s">
        <v>84</v>
      </c>
      <c r="C40" s="6" t="s">
        <v>23</v>
      </c>
      <c r="D40" s="6">
        <v>6.0</v>
      </c>
      <c r="E40" s="7">
        <f t="shared" si="1"/>
        <v>15.90953846</v>
      </c>
      <c r="F40" s="8">
        <v>40.29</v>
      </c>
      <c r="G40" s="9">
        <v>0.0</v>
      </c>
      <c r="H40" s="10">
        <f>IFERROR(VLOOKUP(B40, 'Kosten Docenten'!A:B, 2, FALSE), "")*J40</f>
        <v>10</v>
      </c>
      <c r="I40" s="10">
        <f>IFERROR(VLOOKUP(C40, 'Kosten Locatie'!A:B, 2, FALSE), "")*J40</f>
        <v>14.38046154</v>
      </c>
      <c r="J40" s="11">
        <v>1.0</v>
      </c>
      <c r="K40" s="12">
        <v>6.71</v>
      </c>
      <c r="L40" s="13"/>
      <c r="M40" s="14" t="s">
        <v>31</v>
      </c>
      <c r="N40" s="15">
        <v>0.6875</v>
      </c>
    </row>
    <row r="41" ht="15.75" customHeight="1">
      <c r="A41" s="6" t="s">
        <v>85</v>
      </c>
      <c r="B41" s="6" t="s">
        <v>86</v>
      </c>
      <c r="C41" s="6" t="s">
        <v>16</v>
      </c>
      <c r="D41" s="6">
        <v>9.0</v>
      </c>
      <c r="E41" s="7">
        <f t="shared" si="1"/>
        <v>17.08106796</v>
      </c>
      <c r="F41" s="8">
        <v>54.95</v>
      </c>
      <c r="G41" s="9">
        <v>0.0</v>
      </c>
      <c r="H41" s="10">
        <f>IFERROR(VLOOKUP(B41, 'Kosten Docenten'!A:B, 2, FALSE), "")*J41</f>
        <v>22.5</v>
      </c>
      <c r="I41" s="10">
        <f>IFERROR(VLOOKUP(C41, 'Kosten Locatie'!A:B, 2, FALSE), "")*J41</f>
        <v>15.36893204</v>
      </c>
      <c r="J41" s="11">
        <v>1.0</v>
      </c>
      <c r="K41" s="12">
        <v>6.11</v>
      </c>
      <c r="L41" s="13"/>
      <c r="M41" s="14" t="s">
        <v>20</v>
      </c>
      <c r="N41" s="15">
        <v>0.8125</v>
      </c>
    </row>
    <row r="42" ht="15.75" customHeight="1">
      <c r="A42" s="6" t="s">
        <v>87</v>
      </c>
      <c r="B42" s="6" t="s">
        <v>40</v>
      </c>
      <c r="C42" s="6" t="s">
        <v>41</v>
      </c>
      <c r="D42" s="6">
        <v>13.0</v>
      </c>
      <c r="E42" s="7">
        <f t="shared" si="1"/>
        <v>17.43869822</v>
      </c>
      <c r="F42" s="8">
        <v>95.06</v>
      </c>
      <c r="G42" s="9">
        <v>0.0</v>
      </c>
      <c r="H42" s="10">
        <f>IFERROR(VLOOKUP(B42, 'Kosten Docenten'!A:B, 2, FALSE), "")*J42</f>
        <v>55</v>
      </c>
      <c r="I42" s="10">
        <f>IFERROR(VLOOKUP(C42, 'Kosten Locatie'!A:B, 2, FALSE), "")*J42</f>
        <v>22.62130178</v>
      </c>
      <c r="J42" s="11">
        <v>1.0</v>
      </c>
      <c r="K42" s="12">
        <v>7.31</v>
      </c>
      <c r="L42" s="13"/>
      <c r="M42" s="14" t="s">
        <v>17</v>
      </c>
      <c r="N42" s="15">
        <v>0.7291666666666666</v>
      </c>
    </row>
    <row r="43" ht="15.75" customHeight="1">
      <c r="A43" s="6" t="s">
        <v>88</v>
      </c>
      <c r="B43" s="6" t="s">
        <v>71</v>
      </c>
      <c r="C43" s="6" t="s">
        <v>16</v>
      </c>
      <c r="D43" s="6">
        <v>10.0</v>
      </c>
      <c r="E43" s="7">
        <f t="shared" si="1"/>
        <v>17.94606796</v>
      </c>
      <c r="F43" s="8">
        <v>72.03</v>
      </c>
      <c r="G43" s="9">
        <v>0.0</v>
      </c>
      <c r="H43" s="10">
        <f>IFERROR(VLOOKUP(B43, 'Kosten Docenten'!A:B, 2, FALSE), "")*J43</f>
        <v>38.715</v>
      </c>
      <c r="I43" s="10">
        <f>IFERROR(VLOOKUP(C43, 'Kosten Locatie'!A:B, 2, FALSE), "")*J43</f>
        <v>15.36893204</v>
      </c>
      <c r="J43" s="11">
        <v>1.0</v>
      </c>
      <c r="K43" s="12">
        <v>7.2</v>
      </c>
      <c r="L43" s="13"/>
      <c r="M43" s="14" t="s">
        <v>24</v>
      </c>
      <c r="N43" s="15">
        <v>0.875</v>
      </c>
    </row>
    <row r="44" ht="15.75" customHeight="1">
      <c r="A44" s="6" t="s">
        <v>89</v>
      </c>
      <c r="B44" s="6" t="s">
        <v>90</v>
      </c>
      <c r="C44" s="6" t="s">
        <v>16</v>
      </c>
      <c r="D44" s="6">
        <v>9.0</v>
      </c>
      <c r="E44" s="7">
        <f t="shared" si="1"/>
        <v>20.15106796</v>
      </c>
      <c r="F44" s="8">
        <v>55.52</v>
      </c>
      <c r="G44" s="9">
        <v>0.0</v>
      </c>
      <c r="H44" s="10">
        <f>IFERROR(VLOOKUP(B44, 'Kosten Docenten'!A:B, 2, FALSE), "")*J44</f>
        <v>20</v>
      </c>
      <c r="I44" s="10">
        <f>IFERROR(VLOOKUP(C44, 'Kosten Locatie'!A:B, 2, FALSE), "")*J44</f>
        <v>15.36893204</v>
      </c>
      <c r="J44" s="11">
        <v>1.0</v>
      </c>
      <c r="K44" s="12">
        <v>6.17</v>
      </c>
      <c r="L44" s="13"/>
      <c r="M44" s="14" t="s">
        <v>20</v>
      </c>
      <c r="N44" s="15">
        <v>0.7708333333333334</v>
      </c>
    </row>
    <row r="45" ht="15.75" customHeight="1">
      <c r="A45" s="6" t="s">
        <v>91</v>
      </c>
      <c r="B45" s="6" t="s">
        <v>92</v>
      </c>
      <c r="C45" s="6" t="s">
        <v>23</v>
      </c>
      <c r="D45" s="6">
        <v>7.0</v>
      </c>
      <c r="E45" s="7">
        <f t="shared" si="1"/>
        <v>20.63953846</v>
      </c>
      <c r="F45" s="8">
        <v>50.02</v>
      </c>
      <c r="G45" s="9">
        <v>0.0</v>
      </c>
      <c r="H45" s="10">
        <f>IFERROR(VLOOKUP(B45, 'Kosten Docenten'!A:B, 2, FALSE), "")*J45</f>
        <v>15</v>
      </c>
      <c r="I45" s="10">
        <f>IFERROR(VLOOKUP(C45, 'Kosten Locatie'!A:B, 2, FALSE), "")*J45</f>
        <v>14.38046154</v>
      </c>
      <c r="J45" s="11">
        <v>1.0</v>
      </c>
      <c r="K45" s="12">
        <v>7.15</v>
      </c>
      <c r="L45" s="13"/>
      <c r="M45" s="14" t="s">
        <v>35</v>
      </c>
      <c r="N45" s="15">
        <v>0.7083333333333334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6" t="s">
        <v>93</v>
      </c>
      <c r="B46" s="6" t="s">
        <v>94</v>
      </c>
      <c r="C46" s="6" t="s">
        <v>23</v>
      </c>
      <c r="D46" s="6">
        <v>9.0</v>
      </c>
      <c r="E46" s="7">
        <f t="shared" si="1"/>
        <v>23.27953846</v>
      </c>
      <c r="F46" s="8">
        <v>57.66</v>
      </c>
      <c r="G46" s="9">
        <v>0.0</v>
      </c>
      <c r="H46" s="10">
        <f>IFERROR(VLOOKUP(B46, 'Kosten Docenten'!A:B, 2, FALSE), "")*J46</f>
        <v>20</v>
      </c>
      <c r="I46" s="10">
        <f>IFERROR(VLOOKUP(C46, 'Kosten Locatie'!A:B, 2, FALSE), "")*J46</f>
        <v>14.38046154</v>
      </c>
      <c r="J46" s="11">
        <v>1.0</v>
      </c>
      <c r="K46" s="12">
        <v>6.41</v>
      </c>
      <c r="L46" s="13"/>
      <c r="M46" s="14" t="s">
        <v>17</v>
      </c>
      <c r="N46" s="15">
        <v>0.8125</v>
      </c>
    </row>
    <row r="47" ht="15.75" customHeight="1">
      <c r="A47" s="6" t="s">
        <v>95</v>
      </c>
      <c r="B47" s="6" t="s">
        <v>54</v>
      </c>
      <c r="C47" s="6" t="s">
        <v>16</v>
      </c>
      <c r="D47" s="6">
        <v>13.0</v>
      </c>
      <c r="E47" s="7">
        <f t="shared" si="1"/>
        <v>26.56884574</v>
      </c>
      <c r="F47" s="8">
        <v>88.16</v>
      </c>
      <c r="G47" s="9">
        <v>0.0</v>
      </c>
      <c r="H47" s="10">
        <f>IFERROR(VLOOKUP(B47, 'Kosten Docenten'!A:B, 2, FALSE), "")*J47</f>
        <v>46.22222222</v>
      </c>
      <c r="I47" s="10">
        <f>IFERROR(VLOOKUP(C47, 'Kosten Locatie'!A:B, 2, FALSE), "")*J47</f>
        <v>15.36893204</v>
      </c>
      <c r="J47" s="11">
        <v>1.0</v>
      </c>
      <c r="K47" s="12">
        <v>6.78</v>
      </c>
      <c r="L47" s="13"/>
      <c r="M47" s="14" t="s">
        <v>17</v>
      </c>
      <c r="N47" s="15">
        <v>0.875</v>
      </c>
    </row>
    <row r="48" ht="15.75" customHeight="1">
      <c r="A48" s="6" t="s">
        <v>96</v>
      </c>
      <c r="B48" s="6" t="s">
        <v>40</v>
      </c>
      <c r="C48" s="6" t="s">
        <v>41</v>
      </c>
      <c r="D48" s="6">
        <v>13.0</v>
      </c>
      <c r="E48" s="7">
        <f t="shared" si="1"/>
        <v>28.41402367</v>
      </c>
      <c r="F48" s="8">
        <v>86.63</v>
      </c>
      <c r="G48" s="9">
        <v>0.0</v>
      </c>
      <c r="H48" s="10">
        <f>IFERROR(VLOOKUP(B48, 'Kosten Docenten'!A:B, 2, FALSE), "")*J48</f>
        <v>41.25</v>
      </c>
      <c r="I48" s="10">
        <f>IFERROR(VLOOKUP(C48, 'Kosten Locatie'!A:B, 2, FALSE), "")*J48</f>
        <v>16.96597633</v>
      </c>
      <c r="J48" s="11">
        <v>0.75</v>
      </c>
      <c r="K48" s="12">
        <v>6.66</v>
      </c>
      <c r="L48" s="13"/>
      <c r="M48" s="14" t="s">
        <v>20</v>
      </c>
      <c r="N48" s="15">
        <v>0.625</v>
      </c>
    </row>
    <row r="49" ht="15.75" customHeight="1">
      <c r="A49" s="6" t="s">
        <v>97</v>
      </c>
      <c r="B49" s="6" t="s">
        <v>62</v>
      </c>
      <c r="C49" s="6" t="s">
        <v>41</v>
      </c>
      <c r="D49" s="6">
        <v>10.0</v>
      </c>
      <c r="E49" s="7">
        <f t="shared" si="1"/>
        <v>30.05869822</v>
      </c>
      <c r="F49" s="8">
        <v>78.93</v>
      </c>
      <c r="G49" s="9">
        <v>0.0</v>
      </c>
      <c r="H49" s="10">
        <f>IFERROR(VLOOKUP(B49, 'Kosten Docenten'!A:B, 2, FALSE), "")*J49</f>
        <v>26.25</v>
      </c>
      <c r="I49" s="10">
        <f>IFERROR(VLOOKUP(C49, 'Kosten Locatie'!A:B, 2, FALSE), "")*J49</f>
        <v>22.62130178</v>
      </c>
      <c r="J49" s="11">
        <v>1.0</v>
      </c>
      <c r="K49" s="12">
        <v>7.89</v>
      </c>
      <c r="L49" s="13"/>
      <c r="M49" s="14" t="s">
        <v>20</v>
      </c>
      <c r="N49" s="15">
        <v>0.8541666666666666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6" t="s">
        <v>98</v>
      </c>
      <c r="B50" s="6" t="s">
        <v>40</v>
      </c>
      <c r="C50" s="6" t="s">
        <v>41</v>
      </c>
      <c r="D50" s="6">
        <v>13.0</v>
      </c>
      <c r="E50" s="7">
        <f t="shared" si="1"/>
        <v>31.06869822</v>
      </c>
      <c r="F50" s="8">
        <v>108.69</v>
      </c>
      <c r="G50" s="9">
        <v>0.0</v>
      </c>
      <c r="H50" s="10">
        <f>IFERROR(VLOOKUP(B50, 'Kosten Docenten'!A:B, 2, FALSE), "")*J50</f>
        <v>55</v>
      </c>
      <c r="I50" s="10">
        <f>IFERROR(VLOOKUP(C50, 'Kosten Locatie'!A:B, 2, FALSE), "")*J50</f>
        <v>22.62130178</v>
      </c>
      <c r="J50" s="11">
        <v>1.0</v>
      </c>
      <c r="K50" s="12">
        <v>8.36</v>
      </c>
      <c r="L50" s="13"/>
      <c r="M50" s="14" t="s">
        <v>20</v>
      </c>
      <c r="N50" s="15">
        <v>0.6979166666666666</v>
      </c>
    </row>
    <row r="51" ht="15.75" customHeight="1">
      <c r="A51" s="6" t="s">
        <v>99</v>
      </c>
      <c r="B51" s="6" t="s">
        <v>77</v>
      </c>
      <c r="C51" s="6" t="s">
        <v>16</v>
      </c>
      <c r="D51" s="6">
        <v>7.0</v>
      </c>
      <c r="E51" s="7">
        <f t="shared" si="1"/>
        <v>31.89106796</v>
      </c>
      <c r="F51" s="8">
        <v>72.26</v>
      </c>
      <c r="G51" s="9">
        <v>0.0</v>
      </c>
      <c r="H51" s="10">
        <f>IFERROR(VLOOKUP(B51, 'Kosten Docenten'!A:B, 2, FALSE), "")*J51</f>
        <v>25</v>
      </c>
      <c r="I51" s="10">
        <f>IFERROR(VLOOKUP(C51, 'Kosten Locatie'!A:B, 2, FALSE), "")*J51</f>
        <v>15.36893204</v>
      </c>
      <c r="J51" s="11">
        <v>1.0</v>
      </c>
      <c r="K51" s="12">
        <v>10.32</v>
      </c>
      <c r="L51" s="13"/>
      <c r="M51" s="14" t="s">
        <v>35</v>
      </c>
      <c r="N51" s="15">
        <v>0.7083333333333334</v>
      </c>
    </row>
    <row r="52" ht="15.75" customHeight="1">
      <c r="A52" s="6" t="s">
        <v>100</v>
      </c>
      <c r="B52" s="6" t="s">
        <v>54</v>
      </c>
      <c r="C52" s="6" t="s">
        <v>16</v>
      </c>
      <c r="D52" s="6">
        <v>18.0</v>
      </c>
      <c r="E52" s="7">
        <f t="shared" si="1"/>
        <v>32.51884574</v>
      </c>
      <c r="F52" s="8">
        <v>94.11</v>
      </c>
      <c r="G52" s="9">
        <v>0.0</v>
      </c>
      <c r="H52" s="10">
        <f>IFERROR(VLOOKUP(B52, 'Kosten Docenten'!A:B, 2, FALSE), "")*J52</f>
        <v>46.22222222</v>
      </c>
      <c r="I52" s="10">
        <f>IFERROR(VLOOKUP(C52, 'Kosten Locatie'!A:B, 2, FALSE), "")*J52</f>
        <v>15.36893204</v>
      </c>
      <c r="J52" s="11">
        <v>1.0</v>
      </c>
      <c r="K52" s="12">
        <v>5.23</v>
      </c>
      <c r="L52" s="13"/>
      <c r="M52" s="14" t="s">
        <v>17</v>
      </c>
      <c r="N52" s="15">
        <v>0.7916666666666666</v>
      </c>
    </row>
    <row r="53" ht="15.75" customHeight="1">
      <c r="A53" s="6" t="s">
        <v>101</v>
      </c>
      <c r="B53" s="6" t="s">
        <v>102</v>
      </c>
      <c r="C53" s="6" t="s">
        <v>16</v>
      </c>
      <c r="D53" s="6">
        <v>7.0</v>
      </c>
      <c r="E53" s="7">
        <f t="shared" si="1"/>
        <v>33.16553398</v>
      </c>
      <c r="F53" s="8">
        <v>33.2</v>
      </c>
      <c r="G53" s="9">
        <v>7.65</v>
      </c>
      <c r="H53" s="10">
        <f>IFERROR(VLOOKUP(B53, 'Kosten Docenten'!A:B, 2, FALSE), "")*J53</f>
        <v>0</v>
      </c>
      <c r="I53" s="10">
        <f>IFERROR(VLOOKUP(C53, 'Kosten Locatie'!A:B, 2, FALSE), "")*J53</f>
        <v>7.684466019</v>
      </c>
      <c r="J53" s="11">
        <v>0.5</v>
      </c>
      <c r="K53" s="12">
        <v>4.74</v>
      </c>
      <c r="L53" s="13"/>
      <c r="M53" s="14" t="s">
        <v>35</v>
      </c>
      <c r="N53" s="15">
        <v>0.8958333333333334</v>
      </c>
    </row>
    <row r="54" ht="15.75" customHeight="1">
      <c r="A54" s="6" t="s">
        <v>103</v>
      </c>
      <c r="B54" s="6" t="s">
        <v>104</v>
      </c>
      <c r="C54" s="6" t="s">
        <v>23</v>
      </c>
      <c r="D54" s="6">
        <v>11.0</v>
      </c>
      <c r="E54" s="7">
        <f t="shared" si="1"/>
        <v>33.42953846</v>
      </c>
      <c r="F54" s="8">
        <v>97.81</v>
      </c>
      <c r="G54" s="9">
        <v>0.0</v>
      </c>
      <c r="H54" s="10">
        <f>IFERROR(VLOOKUP(B54, 'Kosten Docenten'!A:B, 2, FALSE), "")*J54</f>
        <v>50</v>
      </c>
      <c r="I54" s="10">
        <f>IFERROR(VLOOKUP(C54, 'Kosten Locatie'!A:B, 2, FALSE), "")*J54</f>
        <v>14.38046154</v>
      </c>
      <c r="J54" s="11">
        <v>1.0</v>
      </c>
      <c r="K54" s="12">
        <v>8.89</v>
      </c>
      <c r="L54" s="13"/>
      <c r="M54" s="14" t="s">
        <v>20</v>
      </c>
      <c r="N54" s="15">
        <v>0.75</v>
      </c>
    </row>
    <row r="55" ht="15.75" customHeight="1">
      <c r="A55" s="6" t="s">
        <v>105</v>
      </c>
      <c r="B55" s="6" t="s">
        <v>84</v>
      </c>
      <c r="C55" s="6" t="s">
        <v>16</v>
      </c>
      <c r="D55" s="6">
        <v>7.0</v>
      </c>
      <c r="E55" s="7">
        <f t="shared" si="1"/>
        <v>34.15106796</v>
      </c>
      <c r="F55" s="8">
        <v>59.52</v>
      </c>
      <c r="G55" s="9">
        <v>0.0</v>
      </c>
      <c r="H55" s="10">
        <f>IFERROR(VLOOKUP(B55, 'Kosten Docenten'!A:B, 2, FALSE), "")*J55</f>
        <v>10</v>
      </c>
      <c r="I55" s="10">
        <f>IFERROR(VLOOKUP(C55, 'Kosten Locatie'!A:B, 2, FALSE), "")*J55</f>
        <v>15.36893204</v>
      </c>
      <c r="J55" s="11">
        <v>1.0</v>
      </c>
      <c r="K55" s="12">
        <v>8.5</v>
      </c>
      <c r="L55" s="13"/>
      <c r="M55" s="14" t="s">
        <v>20</v>
      </c>
      <c r="N55" s="15">
        <v>0.75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6" t="s">
        <v>106</v>
      </c>
      <c r="B56" s="6" t="s">
        <v>107</v>
      </c>
      <c r="C56" s="6" t="s">
        <v>23</v>
      </c>
      <c r="D56" s="6">
        <v>10.0</v>
      </c>
      <c r="E56" s="7">
        <f t="shared" si="1"/>
        <v>34.39953846</v>
      </c>
      <c r="F56" s="8">
        <v>68.78</v>
      </c>
      <c r="G56" s="9">
        <v>0.0</v>
      </c>
      <c r="H56" s="10">
        <f>IFERROR(VLOOKUP(B56, 'Kosten Docenten'!A:B, 2, FALSE), "")*J56</f>
        <v>20</v>
      </c>
      <c r="I56" s="10">
        <f>IFERROR(VLOOKUP(C56, 'Kosten Locatie'!A:B, 2, FALSE), "")*J56</f>
        <v>14.38046154</v>
      </c>
      <c r="J56" s="11">
        <v>1.0</v>
      </c>
      <c r="K56" s="12">
        <v>6.88</v>
      </c>
      <c r="L56" s="13"/>
      <c r="M56" s="14" t="s">
        <v>31</v>
      </c>
      <c r="N56" s="15">
        <v>0.6458333333333334</v>
      </c>
    </row>
    <row r="57" ht="15.75" customHeight="1">
      <c r="A57" s="6" t="s">
        <v>108</v>
      </c>
      <c r="B57" s="6" t="s">
        <v>109</v>
      </c>
      <c r="C57" s="6" t="s">
        <v>41</v>
      </c>
      <c r="D57" s="6">
        <v>11.0</v>
      </c>
      <c r="E57" s="7">
        <f t="shared" si="1"/>
        <v>34.77536489</v>
      </c>
      <c r="F57" s="8">
        <v>105.73</v>
      </c>
      <c r="G57" s="9">
        <v>0.0</v>
      </c>
      <c r="H57" s="10">
        <f>IFERROR(VLOOKUP(B57, 'Kosten Docenten'!A:B, 2, FALSE), "")*J57</f>
        <v>48.33333333</v>
      </c>
      <c r="I57" s="10">
        <f>IFERROR(VLOOKUP(C57, 'Kosten Locatie'!A:B, 2, FALSE), "")*J57</f>
        <v>22.62130178</v>
      </c>
      <c r="J57" s="11">
        <v>1.0</v>
      </c>
      <c r="K57" s="12">
        <v>9.61</v>
      </c>
      <c r="L57" s="13"/>
      <c r="M57" s="14" t="s">
        <v>24</v>
      </c>
      <c r="N57" s="15">
        <v>0.625</v>
      </c>
    </row>
    <row r="58" ht="15.75" customHeight="1">
      <c r="A58" s="6" t="s">
        <v>110</v>
      </c>
      <c r="B58" s="6" t="s">
        <v>40</v>
      </c>
      <c r="C58" s="6" t="s">
        <v>41</v>
      </c>
      <c r="D58" s="6">
        <v>13.0</v>
      </c>
      <c r="E58" s="7">
        <f t="shared" si="1"/>
        <v>37.87869822</v>
      </c>
      <c r="F58" s="8">
        <v>115.5</v>
      </c>
      <c r="G58" s="9">
        <v>0.0</v>
      </c>
      <c r="H58" s="10">
        <f>IFERROR(VLOOKUP(B58, 'Kosten Docenten'!A:B, 2, FALSE), "")*J58</f>
        <v>55</v>
      </c>
      <c r="I58" s="10">
        <f>IFERROR(VLOOKUP(C58, 'Kosten Locatie'!A:B, 2, FALSE), "")*J58</f>
        <v>22.62130178</v>
      </c>
      <c r="J58" s="11">
        <v>1.0</v>
      </c>
      <c r="K58" s="12">
        <v>8.88</v>
      </c>
      <c r="L58" s="13"/>
      <c r="M58" s="14" t="s">
        <v>20</v>
      </c>
      <c r="N58" s="15">
        <v>0.65625</v>
      </c>
    </row>
    <row r="59" ht="15.75" customHeight="1">
      <c r="A59" s="6" t="s">
        <v>111</v>
      </c>
      <c r="B59" s="6" t="s">
        <v>54</v>
      </c>
      <c r="C59" s="6" t="s">
        <v>23</v>
      </c>
      <c r="D59" s="6">
        <v>16.0</v>
      </c>
      <c r="E59" s="7">
        <f t="shared" si="1"/>
        <v>38.34731624</v>
      </c>
      <c r="F59" s="8">
        <v>98.95</v>
      </c>
      <c r="G59" s="9">
        <v>0.0</v>
      </c>
      <c r="H59" s="10">
        <f>IFERROR(VLOOKUP(B59, 'Kosten Docenten'!A:B, 2, FALSE), "")*J59</f>
        <v>46.22222222</v>
      </c>
      <c r="I59" s="10">
        <f>IFERROR(VLOOKUP(C59, 'Kosten Locatie'!A:B, 2, FALSE), "")*J59</f>
        <v>14.38046154</v>
      </c>
      <c r="J59" s="11">
        <v>1.0</v>
      </c>
      <c r="K59" s="12">
        <v>6.18</v>
      </c>
      <c r="L59" s="13"/>
      <c r="M59" s="14" t="s">
        <v>31</v>
      </c>
      <c r="N59" s="15">
        <v>0.8125</v>
      </c>
    </row>
    <row r="60" ht="15.75" customHeight="1">
      <c r="A60" s="6" t="s">
        <v>112</v>
      </c>
      <c r="B60" s="6" t="s">
        <v>113</v>
      </c>
      <c r="C60" s="6" t="s">
        <v>41</v>
      </c>
      <c r="D60" s="6">
        <v>10.0</v>
      </c>
      <c r="E60" s="7">
        <f t="shared" si="1"/>
        <v>38.88869822</v>
      </c>
      <c r="F60" s="8">
        <v>84.01</v>
      </c>
      <c r="G60" s="9">
        <v>0.0</v>
      </c>
      <c r="H60" s="10">
        <f>IFERROR(VLOOKUP(B60, 'Kosten Docenten'!A:B, 2, FALSE), "")*J60</f>
        <v>22.5</v>
      </c>
      <c r="I60" s="10">
        <f>IFERROR(VLOOKUP(C60, 'Kosten Locatie'!A:B, 2, FALSE), "")*J60</f>
        <v>22.62130178</v>
      </c>
      <c r="J60" s="11">
        <v>1.0</v>
      </c>
      <c r="K60" s="12">
        <v>8.4</v>
      </c>
      <c r="L60" s="13"/>
      <c r="M60" s="14" t="s">
        <v>31</v>
      </c>
      <c r="N60" s="15">
        <v>0.7916666666666666</v>
      </c>
    </row>
    <row r="61" ht="15.75" customHeight="1">
      <c r="A61" s="6" t="s">
        <v>114</v>
      </c>
      <c r="B61" s="6" t="s">
        <v>77</v>
      </c>
      <c r="C61" s="6" t="s">
        <v>16</v>
      </c>
      <c r="D61" s="6">
        <v>12.0</v>
      </c>
      <c r="E61" s="7">
        <f t="shared" si="1"/>
        <v>39.64106796</v>
      </c>
      <c r="F61" s="8">
        <v>80.01</v>
      </c>
      <c r="G61" s="9">
        <v>0.0</v>
      </c>
      <c r="H61" s="10">
        <f>IFERROR(VLOOKUP(B61, 'Kosten Docenten'!A:B, 2, FALSE), "")*J61</f>
        <v>25</v>
      </c>
      <c r="I61" s="10">
        <f>IFERROR(VLOOKUP(C61, 'Kosten Locatie'!A:B, 2, FALSE), "")*J61</f>
        <v>15.36893204</v>
      </c>
      <c r="J61" s="11">
        <v>1.0</v>
      </c>
      <c r="K61" s="12">
        <v>6.67</v>
      </c>
      <c r="L61" s="13"/>
      <c r="M61" s="14" t="s">
        <v>35</v>
      </c>
      <c r="N61" s="15">
        <v>0.7916666666666666</v>
      </c>
    </row>
    <row r="62" ht="15.75" customHeight="1">
      <c r="A62" s="6" t="s">
        <v>115</v>
      </c>
      <c r="B62" s="6" t="s">
        <v>40</v>
      </c>
      <c r="C62" s="6" t="s">
        <v>41</v>
      </c>
      <c r="D62" s="6">
        <v>18.0</v>
      </c>
      <c r="E62" s="7">
        <f t="shared" si="1"/>
        <v>39.94337278</v>
      </c>
      <c r="F62" s="8">
        <v>136.97</v>
      </c>
      <c r="G62" s="9">
        <v>0.0</v>
      </c>
      <c r="H62" s="10">
        <f>IFERROR(VLOOKUP(B62, 'Kosten Docenten'!A:B, 2, FALSE), "")*J62</f>
        <v>68.75</v>
      </c>
      <c r="I62" s="10">
        <f>IFERROR(VLOOKUP(C62, 'Kosten Locatie'!A:B, 2, FALSE), "")*J62</f>
        <v>28.27662722</v>
      </c>
      <c r="J62" s="11">
        <v>1.25</v>
      </c>
      <c r="K62" s="12">
        <v>7.61</v>
      </c>
      <c r="L62" s="13"/>
      <c r="M62" s="14" t="s">
        <v>17</v>
      </c>
      <c r="N62" s="15">
        <v>0.8229166666666666</v>
      </c>
    </row>
    <row r="63" ht="15.75" customHeight="1">
      <c r="A63" s="6" t="s">
        <v>116</v>
      </c>
      <c r="B63" s="6" t="s">
        <v>40</v>
      </c>
      <c r="C63" s="6" t="s">
        <v>16</v>
      </c>
      <c r="D63" s="6">
        <v>18.0</v>
      </c>
      <c r="E63" s="7">
        <f t="shared" si="1"/>
        <v>40.49106796</v>
      </c>
      <c r="F63" s="8">
        <v>85.62</v>
      </c>
      <c r="G63" s="9">
        <v>25.24</v>
      </c>
      <c r="H63" s="10">
        <f>IFERROR(VLOOKUP(B63, 'Kosten Docenten'!A:B, 2, FALSE), "")*J63</f>
        <v>55</v>
      </c>
      <c r="I63" s="10">
        <f>IFERROR(VLOOKUP(C63, 'Kosten Locatie'!A:B, 2, FALSE), "")*J63</f>
        <v>15.36893204</v>
      </c>
      <c r="J63" s="11">
        <v>1.0</v>
      </c>
      <c r="K63" s="12">
        <v>4.76</v>
      </c>
      <c r="L63" s="13"/>
      <c r="M63" s="14" t="s">
        <v>31</v>
      </c>
      <c r="N63" s="15">
        <v>0.7708333333333334</v>
      </c>
    </row>
    <row r="64" ht="15.75" customHeight="1">
      <c r="A64" s="6" t="s">
        <v>117</v>
      </c>
      <c r="B64" s="6" t="s">
        <v>43</v>
      </c>
      <c r="C64" s="6" t="s">
        <v>16</v>
      </c>
      <c r="D64" s="6">
        <v>19.0</v>
      </c>
      <c r="E64" s="7">
        <f t="shared" si="1"/>
        <v>40.50470432</v>
      </c>
      <c r="F64" s="8">
        <v>82.86</v>
      </c>
      <c r="G64" s="9">
        <v>26.65</v>
      </c>
      <c r="H64" s="10">
        <f>IFERROR(VLOOKUP(B64, 'Kosten Docenten'!A:B, 2, FALSE), "")*J64</f>
        <v>53.63636364</v>
      </c>
      <c r="I64" s="10">
        <f>IFERROR(VLOOKUP(C64, 'Kosten Locatie'!A:B, 2, FALSE), "")*J64</f>
        <v>15.36893204</v>
      </c>
      <c r="J64" s="11">
        <v>1.0</v>
      </c>
      <c r="K64" s="12">
        <v>4.36</v>
      </c>
      <c r="L64" s="13"/>
      <c r="M64" s="14" t="s">
        <v>17</v>
      </c>
      <c r="N64" s="15">
        <v>0.8020833333333334</v>
      </c>
    </row>
    <row r="65" ht="15.75" customHeight="1">
      <c r="A65" s="6" t="s">
        <v>118</v>
      </c>
      <c r="B65" s="6" t="s">
        <v>104</v>
      </c>
      <c r="C65" s="6" t="s">
        <v>23</v>
      </c>
      <c r="D65" s="6">
        <v>15.0</v>
      </c>
      <c r="E65" s="7">
        <f t="shared" si="1"/>
        <v>43.43953846</v>
      </c>
      <c r="F65" s="8">
        <v>107.82</v>
      </c>
      <c r="G65" s="9">
        <v>0.0</v>
      </c>
      <c r="H65" s="10">
        <f>IFERROR(VLOOKUP(B65, 'Kosten Docenten'!A:B, 2, FALSE), "")*J65</f>
        <v>50</v>
      </c>
      <c r="I65" s="10">
        <f>IFERROR(VLOOKUP(C65, 'Kosten Locatie'!A:B, 2, FALSE), "")*J65</f>
        <v>14.38046154</v>
      </c>
      <c r="J65" s="11">
        <v>1.0</v>
      </c>
      <c r="K65" s="12">
        <v>7.19</v>
      </c>
      <c r="L65" s="13"/>
      <c r="M65" s="14" t="s">
        <v>20</v>
      </c>
      <c r="N65" s="15">
        <v>0.7916666666666666</v>
      </c>
    </row>
    <row r="66" ht="15.75" customHeight="1">
      <c r="A66" s="6" t="s">
        <v>119</v>
      </c>
      <c r="B66" s="6" t="s">
        <v>73</v>
      </c>
      <c r="C66" s="6" t="s">
        <v>16</v>
      </c>
      <c r="D66" s="6">
        <v>10.0</v>
      </c>
      <c r="E66" s="7">
        <f t="shared" si="1"/>
        <v>43.48106796</v>
      </c>
      <c r="F66" s="8">
        <v>88.85</v>
      </c>
      <c r="G66" s="9">
        <v>0.0</v>
      </c>
      <c r="H66" s="10">
        <f>IFERROR(VLOOKUP(B66, 'Kosten Docenten'!A:B, 2, FALSE), "")*J66</f>
        <v>30</v>
      </c>
      <c r="I66" s="10">
        <f>IFERROR(VLOOKUP(C66, 'Kosten Locatie'!A:B, 2, FALSE), "")*J66</f>
        <v>15.36893204</v>
      </c>
      <c r="J66" s="11">
        <v>1.0</v>
      </c>
      <c r="K66" s="12">
        <v>8.88</v>
      </c>
      <c r="L66" s="13"/>
      <c r="M66" s="14" t="s">
        <v>52</v>
      </c>
      <c r="N66" s="15">
        <v>0.375</v>
      </c>
    </row>
    <row r="67" ht="15.75" customHeight="1">
      <c r="A67" s="6" t="s">
        <v>120</v>
      </c>
      <c r="B67" s="6" t="s">
        <v>30</v>
      </c>
      <c r="C67" s="6" t="s">
        <v>16</v>
      </c>
      <c r="D67" s="6">
        <v>15.0</v>
      </c>
      <c r="E67" s="7">
        <f t="shared" si="1"/>
        <v>43.966166</v>
      </c>
      <c r="F67" s="8">
        <v>116.59</v>
      </c>
      <c r="G67" s="9">
        <v>0.0</v>
      </c>
      <c r="H67" s="10">
        <f>IFERROR(VLOOKUP(B67, 'Kosten Docenten'!A:B, 2, FALSE), "")*J67</f>
        <v>57.25490196</v>
      </c>
      <c r="I67" s="10">
        <f>IFERROR(VLOOKUP(C67, 'Kosten Locatie'!A:B, 2, FALSE), "")*J67</f>
        <v>15.36893204</v>
      </c>
      <c r="J67" s="11">
        <v>1.0</v>
      </c>
      <c r="K67" s="12">
        <v>7.77</v>
      </c>
      <c r="L67" s="13"/>
      <c r="M67" s="14" t="s">
        <v>20</v>
      </c>
      <c r="N67" s="15">
        <v>0.8541666666666666</v>
      </c>
    </row>
    <row r="68" ht="15.75" customHeight="1">
      <c r="A68" s="6" t="s">
        <v>121</v>
      </c>
      <c r="B68" s="6" t="s">
        <v>122</v>
      </c>
      <c r="C68" s="6" t="s">
        <v>16</v>
      </c>
      <c r="D68" s="6">
        <v>12.0</v>
      </c>
      <c r="E68" s="7">
        <f t="shared" si="1"/>
        <v>44.47106796</v>
      </c>
      <c r="F68" s="8">
        <v>77.37</v>
      </c>
      <c r="G68" s="9">
        <v>2.47</v>
      </c>
      <c r="H68" s="10">
        <f>IFERROR(VLOOKUP(B68, 'Kosten Docenten'!A:B, 2, FALSE), "")*J68</f>
        <v>20</v>
      </c>
      <c r="I68" s="10">
        <f>IFERROR(VLOOKUP(C68, 'Kosten Locatie'!A:B, 2, FALSE), "")*J68</f>
        <v>15.36893204</v>
      </c>
      <c r="J68" s="11">
        <v>1.0</v>
      </c>
      <c r="K68" s="12">
        <v>6.45</v>
      </c>
      <c r="L68" s="13"/>
      <c r="M68" s="14" t="s">
        <v>24</v>
      </c>
      <c r="N68" s="15">
        <v>0.75</v>
      </c>
    </row>
    <row r="69" ht="15.75" customHeight="1">
      <c r="A69" s="6" t="s">
        <v>123</v>
      </c>
      <c r="B69" s="6" t="s">
        <v>124</v>
      </c>
      <c r="C69" s="6" t="s">
        <v>16</v>
      </c>
      <c r="D69" s="6">
        <v>14.0</v>
      </c>
      <c r="E69" s="7">
        <f t="shared" si="1"/>
        <v>44.75106796</v>
      </c>
      <c r="F69" s="8">
        <v>70.12</v>
      </c>
      <c r="G69" s="9">
        <v>0.0</v>
      </c>
      <c r="H69" s="10">
        <f>IFERROR(VLOOKUP(B69, 'Kosten Docenten'!A:B, 2, FALSE), "")*J69</f>
        <v>10</v>
      </c>
      <c r="I69" s="10">
        <f>IFERROR(VLOOKUP(C69, 'Kosten Locatie'!A:B, 2, FALSE), "")*J69</f>
        <v>15.36893204</v>
      </c>
      <c r="J69" s="11">
        <v>1.0</v>
      </c>
      <c r="K69" s="12">
        <v>5.01</v>
      </c>
      <c r="L69" s="13"/>
      <c r="M69" s="14" t="s">
        <v>17</v>
      </c>
      <c r="N69" s="15">
        <v>0.7083333333333334</v>
      </c>
    </row>
    <row r="70" ht="15.75" customHeight="1">
      <c r="A70" s="6" t="s">
        <v>125</v>
      </c>
      <c r="B70" s="6" t="s">
        <v>30</v>
      </c>
      <c r="C70" s="6" t="s">
        <v>16</v>
      </c>
      <c r="D70" s="6">
        <v>24.0</v>
      </c>
      <c r="E70" s="7">
        <f t="shared" si="1"/>
        <v>45.156166</v>
      </c>
      <c r="F70" s="8">
        <v>117.78</v>
      </c>
      <c r="G70" s="9">
        <v>0.0</v>
      </c>
      <c r="H70" s="10">
        <f>IFERROR(VLOOKUP(B70, 'Kosten Docenten'!A:B, 2, FALSE), "")*J70</f>
        <v>57.25490196</v>
      </c>
      <c r="I70" s="10">
        <f>IFERROR(VLOOKUP(C70, 'Kosten Locatie'!A:B, 2, FALSE), "")*J70</f>
        <v>15.36893204</v>
      </c>
      <c r="J70" s="11">
        <v>1.0</v>
      </c>
      <c r="K70" s="12">
        <v>4.91</v>
      </c>
      <c r="L70" s="13"/>
      <c r="M70" s="14" t="s">
        <v>31</v>
      </c>
      <c r="N70" s="15">
        <v>0.875</v>
      </c>
    </row>
    <row r="71" ht="15.75" customHeight="1">
      <c r="A71" s="6" t="s">
        <v>126</v>
      </c>
      <c r="B71" s="6" t="s">
        <v>40</v>
      </c>
      <c r="C71" s="6" t="s">
        <v>16</v>
      </c>
      <c r="D71" s="6">
        <v>13.0</v>
      </c>
      <c r="E71" s="7">
        <f t="shared" si="1"/>
        <v>45.49106796</v>
      </c>
      <c r="F71" s="8">
        <v>97.67</v>
      </c>
      <c r="G71" s="9">
        <v>18.19</v>
      </c>
      <c r="H71" s="10">
        <f>IFERROR(VLOOKUP(B71, 'Kosten Docenten'!A:B, 2, FALSE), "")*J71</f>
        <v>55</v>
      </c>
      <c r="I71" s="10">
        <f>IFERROR(VLOOKUP(C71, 'Kosten Locatie'!A:B, 2, FALSE), "")*J71</f>
        <v>15.36893204</v>
      </c>
      <c r="J71" s="11">
        <v>1.0</v>
      </c>
      <c r="K71" s="12">
        <v>7.51</v>
      </c>
      <c r="L71" s="13"/>
      <c r="M71" s="14" t="s">
        <v>31</v>
      </c>
      <c r="N71" s="15">
        <v>0.6666666666666666</v>
      </c>
    </row>
    <row r="72" ht="15.75" customHeight="1">
      <c r="A72" s="6" t="s">
        <v>127</v>
      </c>
      <c r="B72" s="6" t="s">
        <v>40</v>
      </c>
      <c r="C72" s="6" t="s">
        <v>16</v>
      </c>
      <c r="D72" s="6">
        <v>16.0</v>
      </c>
      <c r="E72" s="7">
        <f t="shared" si="1"/>
        <v>45.78106796</v>
      </c>
      <c r="F72" s="8">
        <v>93.59</v>
      </c>
      <c r="G72" s="9">
        <v>22.56</v>
      </c>
      <c r="H72" s="10">
        <f>IFERROR(VLOOKUP(B72, 'Kosten Docenten'!A:B, 2, FALSE), "")*J72</f>
        <v>55</v>
      </c>
      <c r="I72" s="10">
        <f>IFERROR(VLOOKUP(C72, 'Kosten Locatie'!A:B, 2, FALSE), "")*J72</f>
        <v>15.36893204</v>
      </c>
      <c r="J72" s="11">
        <v>1.0</v>
      </c>
      <c r="K72" s="12">
        <v>5.85</v>
      </c>
      <c r="L72" s="13"/>
      <c r="M72" s="14" t="s">
        <v>31</v>
      </c>
      <c r="N72" s="15">
        <v>0.7083333333333334</v>
      </c>
    </row>
    <row r="73" ht="15.75" customHeight="1">
      <c r="A73" s="6" t="s">
        <v>128</v>
      </c>
      <c r="B73" s="6" t="s">
        <v>54</v>
      </c>
      <c r="C73" s="6" t="s">
        <v>23</v>
      </c>
      <c r="D73" s="6">
        <v>15.0</v>
      </c>
      <c r="E73" s="7">
        <f t="shared" si="1"/>
        <v>45.90731624</v>
      </c>
      <c r="F73" s="8">
        <v>106.51</v>
      </c>
      <c r="G73" s="9">
        <v>0.0</v>
      </c>
      <c r="H73" s="10">
        <f>IFERROR(VLOOKUP(B73, 'Kosten Docenten'!A:B, 2, FALSE), "")*J73</f>
        <v>46.22222222</v>
      </c>
      <c r="I73" s="10">
        <f>IFERROR(VLOOKUP(C73, 'Kosten Locatie'!A:B, 2, FALSE), "")*J73</f>
        <v>14.38046154</v>
      </c>
      <c r="J73" s="11">
        <v>1.0</v>
      </c>
      <c r="K73" s="12">
        <v>7.1</v>
      </c>
      <c r="L73" s="13"/>
      <c r="M73" s="14" t="s">
        <v>31</v>
      </c>
      <c r="N73" s="15">
        <v>0.7291666666666666</v>
      </c>
    </row>
    <row r="74" ht="15.75" customHeight="1">
      <c r="A74" s="6" t="s">
        <v>129</v>
      </c>
      <c r="B74" s="6" t="s">
        <v>77</v>
      </c>
      <c r="C74" s="6" t="s">
        <v>16</v>
      </c>
      <c r="D74" s="6">
        <v>11.0</v>
      </c>
      <c r="E74" s="7">
        <f t="shared" si="1"/>
        <v>45.96106796</v>
      </c>
      <c r="F74" s="8">
        <v>86.33</v>
      </c>
      <c r="G74" s="9">
        <v>0.0</v>
      </c>
      <c r="H74" s="10">
        <f>IFERROR(VLOOKUP(B74, 'Kosten Docenten'!A:B, 2, FALSE), "")*J74</f>
        <v>25</v>
      </c>
      <c r="I74" s="10">
        <f>IFERROR(VLOOKUP(C74, 'Kosten Locatie'!A:B, 2, FALSE), "")*J74</f>
        <v>15.36893204</v>
      </c>
      <c r="J74" s="11">
        <v>1.0</v>
      </c>
      <c r="K74" s="12">
        <v>7.85</v>
      </c>
      <c r="L74" s="13"/>
      <c r="M74" s="14" t="s">
        <v>35</v>
      </c>
      <c r="N74" s="15">
        <v>0.8333333333333334</v>
      </c>
    </row>
    <row r="75" ht="15.75" customHeight="1">
      <c r="A75" s="6" t="s">
        <v>130</v>
      </c>
      <c r="B75" s="6" t="s">
        <v>19</v>
      </c>
      <c r="C75" s="6" t="s">
        <v>16</v>
      </c>
      <c r="D75" s="6">
        <v>21.0</v>
      </c>
      <c r="E75" s="7">
        <f t="shared" si="1"/>
        <v>46.668105</v>
      </c>
      <c r="F75" s="8">
        <v>101.01</v>
      </c>
      <c r="G75" s="9">
        <v>29.47</v>
      </c>
      <c r="H75" s="10">
        <f>IFERROR(VLOOKUP(B75, 'Kosten Docenten'!A:B, 2, FALSE), "")*J75</f>
        <v>68.44296296</v>
      </c>
      <c r="I75" s="10">
        <f>IFERROR(VLOOKUP(C75, 'Kosten Locatie'!A:B, 2, FALSE), "")*J75</f>
        <v>15.36893204</v>
      </c>
      <c r="J75" s="11">
        <v>1.0</v>
      </c>
      <c r="K75" s="12">
        <v>4.81</v>
      </c>
      <c r="L75" s="13"/>
      <c r="M75" s="14" t="s">
        <v>35</v>
      </c>
      <c r="N75" s="15">
        <v>0.6875</v>
      </c>
    </row>
    <row r="76" ht="15.75" customHeight="1">
      <c r="A76" s="6" t="s">
        <v>131</v>
      </c>
      <c r="B76" s="6" t="s">
        <v>132</v>
      </c>
      <c r="C76" s="6" t="s">
        <v>16</v>
      </c>
      <c r="D76" s="6">
        <v>14.0</v>
      </c>
      <c r="E76" s="7">
        <f t="shared" si="1"/>
        <v>51.32106796</v>
      </c>
      <c r="F76" s="8">
        <v>66.69</v>
      </c>
      <c r="G76" s="9">
        <v>0.0</v>
      </c>
      <c r="H76" s="10">
        <f>IFERROR(VLOOKUP(B76, 'Kosten Docenten'!A:B, 2, FALSE), "")*J76</f>
        <v>0</v>
      </c>
      <c r="I76" s="10">
        <f>IFERROR(VLOOKUP(C76, 'Kosten Locatie'!A:B, 2, FALSE), "")*J76</f>
        <v>15.36893204</v>
      </c>
      <c r="J76" s="11">
        <v>1.0</v>
      </c>
      <c r="K76" s="12">
        <v>4.76</v>
      </c>
      <c r="L76" s="13"/>
      <c r="M76" s="14" t="s">
        <v>24</v>
      </c>
      <c r="N76" s="15">
        <v>0.75</v>
      </c>
    </row>
    <row r="77" ht="15.75" customHeight="1">
      <c r="A77" s="6" t="s">
        <v>133</v>
      </c>
      <c r="B77" s="6" t="s">
        <v>15</v>
      </c>
      <c r="C77" s="6" t="s">
        <v>134</v>
      </c>
      <c r="D77" s="6">
        <v>12.0</v>
      </c>
      <c r="E77" s="7">
        <f t="shared" si="1"/>
        <v>52.50846154</v>
      </c>
      <c r="F77" s="8">
        <v>105.97</v>
      </c>
      <c r="G77" s="9">
        <v>0.0</v>
      </c>
      <c r="H77" s="10">
        <f>IFERROR(VLOOKUP(B77, 'Kosten Docenten'!A:B, 2, FALSE), "")*J77</f>
        <v>35</v>
      </c>
      <c r="I77" s="10">
        <f>IFERROR(VLOOKUP(C77, 'Kosten Locatie'!A:B, 2, FALSE), "")*J77</f>
        <v>18.46153846</v>
      </c>
      <c r="J77" s="11">
        <v>1.0</v>
      </c>
      <c r="K77" s="12">
        <v>8.83</v>
      </c>
      <c r="L77" s="13"/>
      <c r="M77" s="14" t="s">
        <v>31</v>
      </c>
      <c r="N77" s="15">
        <v>0.6666666666666666</v>
      </c>
    </row>
    <row r="78" ht="15.75" customHeight="1">
      <c r="A78" s="6" t="s">
        <v>135</v>
      </c>
      <c r="B78" s="6" t="s">
        <v>132</v>
      </c>
      <c r="C78" s="6" t="s">
        <v>16</v>
      </c>
      <c r="D78" s="6">
        <v>16.0</v>
      </c>
      <c r="E78" s="7">
        <f t="shared" si="1"/>
        <v>54.74106796</v>
      </c>
      <c r="F78" s="8">
        <v>70.11</v>
      </c>
      <c r="G78" s="9">
        <v>0.0</v>
      </c>
      <c r="H78" s="10">
        <f>IFERROR(VLOOKUP(B78, 'Kosten Docenten'!A:B, 2, FALSE), "")*J78</f>
        <v>0</v>
      </c>
      <c r="I78" s="10">
        <f>IFERROR(VLOOKUP(C78, 'Kosten Locatie'!A:B, 2, FALSE), "")*J78</f>
        <v>15.36893204</v>
      </c>
      <c r="J78" s="11">
        <v>1.0</v>
      </c>
      <c r="K78" s="12">
        <v>4.38</v>
      </c>
      <c r="L78" s="13"/>
      <c r="M78" s="14" t="s">
        <v>24</v>
      </c>
      <c r="N78" s="15">
        <v>0.7916666666666666</v>
      </c>
    </row>
    <row r="79" ht="15.75" customHeight="1">
      <c r="A79" s="6" t="s">
        <v>136</v>
      </c>
      <c r="B79" s="6" t="s">
        <v>137</v>
      </c>
      <c r="C79" s="6" t="s">
        <v>16</v>
      </c>
      <c r="D79" s="6">
        <v>16.0</v>
      </c>
      <c r="E79" s="7">
        <f t="shared" si="1"/>
        <v>56.01883495</v>
      </c>
      <c r="F79" s="8">
        <v>91.72</v>
      </c>
      <c r="G79" s="9">
        <v>21.01</v>
      </c>
      <c r="H79" s="10">
        <f>IFERROR(VLOOKUP(B79, 'Kosten Docenten'!A:B, 2, FALSE), "")*J79</f>
        <v>37.5</v>
      </c>
      <c r="I79" s="10">
        <f>IFERROR(VLOOKUP(C79, 'Kosten Locatie'!A:B, 2, FALSE), "")*J79</f>
        <v>19.21116505</v>
      </c>
      <c r="J79" s="11">
        <v>1.25</v>
      </c>
      <c r="K79" s="12">
        <v>5.73</v>
      </c>
      <c r="L79" s="13"/>
      <c r="M79" s="14" t="s">
        <v>52</v>
      </c>
      <c r="N79" s="15">
        <v>0.4270833333333333</v>
      </c>
    </row>
    <row r="80" ht="15.75" customHeight="1">
      <c r="A80" s="6" t="s">
        <v>138</v>
      </c>
      <c r="B80" s="6" t="s">
        <v>80</v>
      </c>
      <c r="C80" s="6" t="s">
        <v>16</v>
      </c>
      <c r="D80" s="6">
        <v>13.0</v>
      </c>
      <c r="E80" s="7">
        <f t="shared" si="1"/>
        <v>58.31330097</v>
      </c>
      <c r="F80" s="8">
        <v>84.84</v>
      </c>
      <c r="G80" s="9">
        <v>0.0</v>
      </c>
      <c r="H80" s="10">
        <f>IFERROR(VLOOKUP(B80, 'Kosten Docenten'!A:B, 2, FALSE), "")*J80</f>
        <v>15</v>
      </c>
      <c r="I80" s="10">
        <f>IFERROR(VLOOKUP(C80, 'Kosten Locatie'!A:B, 2, FALSE), "")*J80</f>
        <v>11.52669903</v>
      </c>
      <c r="J80" s="11">
        <v>0.75</v>
      </c>
      <c r="K80" s="12">
        <v>6.53</v>
      </c>
      <c r="L80" s="13"/>
      <c r="M80" s="14" t="s">
        <v>52</v>
      </c>
      <c r="N80" s="15">
        <v>0.375</v>
      </c>
    </row>
    <row r="81" ht="15.75" customHeight="1">
      <c r="A81" s="6" t="s">
        <v>139</v>
      </c>
      <c r="B81" s="6" t="s">
        <v>22</v>
      </c>
      <c r="C81" s="6" t="s">
        <v>23</v>
      </c>
      <c r="D81" s="6">
        <v>18.0</v>
      </c>
      <c r="E81" s="7">
        <f t="shared" si="1"/>
        <v>58.83287179</v>
      </c>
      <c r="F81" s="8">
        <v>135.79</v>
      </c>
      <c r="G81" s="9">
        <v>0.0</v>
      </c>
      <c r="H81" s="10">
        <f>IFERROR(VLOOKUP(B81, 'Kosten Docenten'!A:B, 2, FALSE), "")*J81</f>
        <v>62.57666667</v>
      </c>
      <c r="I81" s="10">
        <f>IFERROR(VLOOKUP(C81, 'Kosten Locatie'!A:B, 2, FALSE), "")*J81</f>
        <v>14.38046154</v>
      </c>
      <c r="J81" s="11">
        <v>1.0</v>
      </c>
      <c r="K81" s="12">
        <v>7.54</v>
      </c>
      <c r="L81" s="13"/>
      <c r="M81" s="14" t="s">
        <v>24</v>
      </c>
      <c r="N81" s="15">
        <v>0.8541666666666666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6" t="s">
        <v>140</v>
      </c>
      <c r="B82" s="6" t="s">
        <v>54</v>
      </c>
      <c r="C82" s="6" t="s">
        <v>16</v>
      </c>
      <c r="D82" s="6">
        <v>21.0</v>
      </c>
      <c r="E82" s="7">
        <f t="shared" si="1"/>
        <v>59.38884574</v>
      </c>
      <c r="F82" s="8">
        <v>120.98</v>
      </c>
      <c r="G82" s="9">
        <v>0.0</v>
      </c>
      <c r="H82" s="10">
        <f>IFERROR(VLOOKUP(B82, 'Kosten Docenten'!A:B, 2, FALSE), "")*J82</f>
        <v>46.22222222</v>
      </c>
      <c r="I82" s="10">
        <f>IFERROR(VLOOKUP(C82, 'Kosten Locatie'!A:B, 2, FALSE), "")*J82</f>
        <v>15.36893204</v>
      </c>
      <c r="J82" s="11">
        <v>1.0</v>
      </c>
      <c r="K82" s="12">
        <v>5.76</v>
      </c>
      <c r="L82" s="13"/>
      <c r="M82" s="14" t="s">
        <v>17</v>
      </c>
      <c r="N82" s="15">
        <v>0.8333333333333334</v>
      </c>
    </row>
    <row r="83" ht="15.75" customHeight="1">
      <c r="A83" s="6" t="s">
        <v>141</v>
      </c>
      <c r="B83" s="6" t="s">
        <v>124</v>
      </c>
      <c r="C83" s="6" t="s">
        <v>16</v>
      </c>
      <c r="D83" s="6">
        <v>11.0</v>
      </c>
      <c r="E83" s="7">
        <f t="shared" si="1"/>
        <v>61.29106796</v>
      </c>
      <c r="F83" s="8">
        <v>86.66</v>
      </c>
      <c r="G83" s="9">
        <v>0.0</v>
      </c>
      <c r="H83" s="10">
        <f>IFERROR(VLOOKUP(B83, 'Kosten Docenten'!A:B, 2, FALSE), "")*J83</f>
        <v>10</v>
      </c>
      <c r="I83" s="10">
        <f>IFERROR(VLOOKUP(C83, 'Kosten Locatie'!A:B, 2, FALSE), "")*J83</f>
        <v>15.36893204</v>
      </c>
      <c r="J83" s="11">
        <v>1.0</v>
      </c>
      <c r="K83" s="12">
        <v>7.88</v>
      </c>
      <c r="L83" s="13"/>
      <c r="M83" s="14" t="s">
        <v>20</v>
      </c>
      <c r="N83" s="15">
        <v>0.7083333333333334</v>
      </c>
    </row>
    <row r="84" ht="15.75" customHeight="1">
      <c r="A84" s="6" t="s">
        <v>142</v>
      </c>
      <c r="B84" s="6" t="s">
        <v>143</v>
      </c>
      <c r="C84" s="6" t="s">
        <v>16</v>
      </c>
      <c r="D84" s="6">
        <v>14.0</v>
      </c>
      <c r="E84" s="7">
        <f t="shared" si="1"/>
        <v>61.65106796</v>
      </c>
      <c r="F84" s="8">
        <v>87.02</v>
      </c>
      <c r="G84" s="9">
        <v>0.0</v>
      </c>
      <c r="H84" s="10">
        <f>IFERROR(VLOOKUP(B84, 'Kosten Docenten'!A:B, 2, FALSE), "")*J84</f>
        <v>10</v>
      </c>
      <c r="I84" s="10">
        <f>IFERROR(VLOOKUP(C84, 'Kosten Locatie'!A:B, 2, FALSE), "")*J84</f>
        <v>15.36893204</v>
      </c>
      <c r="J84" s="11">
        <v>1.0</v>
      </c>
      <c r="K84" s="12">
        <v>6.22</v>
      </c>
      <c r="L84" s="13"/>
      <c r="M84" s="14" t="s">
        <v>31</v>
      </c>
      <c r="N84" s="15">
        <v>0.75</v>
      </c>
    </row>
    <row r="85" ht="15.75" customHeight="1">
      <c r="A85" s="6" t="s">
        <v>144</v>
      </c>
      <c r="B85" s="6" t="s">
        <v>54</v>
      </c>
      <c r="C85" s="6" t="s">
        <v>23</v>
      </c>
      <c r="D85" s="6">
        <v>16.0</v>
      </c>
      <c r="E85" s="7">
        <f t="shared" si="1"/>
        <v>63.53731624</v>
      </c>
      <c r="F85" s="8">
        <v>124.14</v>
      </c>
      <c r="G85" s="9">
        <v>0.0</v>
      </c>
      <c r="H85" s="10">
        <f>IFERROR(VLOOKUP(B85, 'Kosten Docenten'!A:B, 2, FALSE), "")*J85</f>
        <v>46.22222222</v>
      </c>
      <c r="I85" s="10">
        <f>IFERROR(VLOOKUP(C85, 'Kosten Locatie'!A:B, 2, FALSE), "")*J85</f>
        <v>14.38046154</v>
      </c>
      <c r="J85" s="11">
        <v>1.0</v>
      </c>
      <c r="K85" s="12">
        <v>7.76</v>
      </c>
      <c r="L85" s="13"/>
      <c r="M85" s="14" t="s">
        <v>31</v>
      </c>
      <c r="N85" s="15">
        <v>0.8541666666666666</v>
      </c>
    </row>
    <row r="86" ht="15.75" customHeight="1">
      <c r="A86" s="6" t="s">
        <v>145</v>
      </c>
      <c r="B86" s="6" t="s">
        <v>15</v>
      </c>
      <c r="C86" s="6" t="s">
        <v>16</v>
      </c>
      <c r="D86" s="6">
        <v>15.0</v>
      </c>
      <c r="E86" s="7">
        <f t="shared" si="1"/>
        <v>64.54106796</v>
      </c>
      <c r="F86" s="8">
        <v>114.91</v>
      </c>
      <c r="G86" s="9">
        <v>0.0</v>
      </c>
      <c r="H86" s="10">
        <f>IFERROR(VLOOKUP(B86, 'Kosten Docenten'!A:B, 2, FALSE), "")*J86</f>
        <v>35</v>
      </c>
      <c r="I86" s="10">
        <f>IFERROR(VLOOKUP(C86, 'Kosten Locatie'!A:B, 2, FALSE), "")*J86</f>
        <v>15.36893204</v>
      </c>
      <c r="J86" s="11">
        <v>1.0</v>
      </c>
      <c r="K86" s="12">
        <v>7.66</v>
      </c>
      <c r="L86" s="13"/>
      <c r="M86" s="14" t="s">
        <v>20</v>
      </c>
      <c r="N86" s="15">
        <v>0.6666666666666666</v>
      </c>
    </row>
    <row r="87" ht="15.75" customHeight="1">
      <c r="A87" s="6" t="s">
        <v>146</v>
      </c>
      <c r="B87" s="6" t="s">
        <v>147</v>
      </c>
      <c r="C87" s="6" t="s">
        <v>41</v>
      </c>
      <c r="D87" s="6">
        <v>14.0</v>
      </c>
      <c r="E87" s="7">
        <f t="shared" si="1"/>
        <v>64.78869822</v>
      </c>
      <c r="F87" s="8">
        <v>122.41</v>
      </c>
      <c r="G87" s="9">
        <v>0.0</v>
      </c>
      <c r="H87" s="10">
        <f>IFERROR(VLOOKUP(B87, 'Kosten Docenten'!A:B, 2, FALSE), "")*J87</f>
        <v>35</v>
      </c>
      <c r="I87" s="10">
        <f>IFERROR(VLOOKUP(C87, 'Kosten Locatie'!A:B, 2, FALSE), "")*J87</f>
        <v>22.62130178</v>
      </c>
      <c r="J87" s="11">
        <v>1.0</v>
      </c>
      <c r="K87" s="12">
        <v>8.74</v>
      </c>
      <c r="L87" s="13"/>
      <c r="M87" s="14" t="s">
        <v>35</v>
      </c>
      <c r="N87" s="15">
        <v>0.7083333333333334</v>
      </c>
    </row>
    <row r="88" ht="15.75" customHeight="1">
      <c r="A88" s="6" t="s">
        <v>148</v>
      </c>
      <c r="B88" s="6" t="s">
        <v>137</v>
      </c>
      <c r="C88" s="6" t="s">
        <v>16</v>
      </c>
      <c r="D88" s="6">
        <v>19.0</v>
      </c>
      <c r="E88" s="7">
        <f t="shared" si="1"/>
        <v>65.74106796</v>
      </c>
      <c r="F88" s="8">
        <v>111.11</v>
      </c>
      <c r="G88" s="9">
        <v>0.0</v>
      </c>
      <c r="H88" s="10">
        <f>IFERROR(VLOOKUP(B88, 'Kosten Docenten'!A:B, 2, FALSE), "")*J88</f>
        <v>30</v>
      </c>
      <c r="I88" s="10">
        <f>IFERROR(VLOOKUP(C88, 'Kosten Locatie'!A:B, 2, FALSE), "")*J88</f>
        <v>15.36893204</v>
      </c>
      <c r="J88" s="11">
        <v>1.0</v>
      </c>
      <c r="K88" s="12">
        <v>5.85</v>
      </c>
      <c r="L88" s="13"/>
      <c r="M88" s="14" t="s">
        <v>31</v>
      </c>
      <c r="N88" s="15">
        <v>0.7916666666666666</v>
      </c>
    </row>
    <row r="89" ht="15.75" customHeight="1">
      <c r="A89" s="6" t="s">
        <v>149</v>
      </c>
      <c r="B89" s="6" t="s">
        <v>132</v>
      </c>
      <c r="C89" s="6" t="s">
        <v>16</v>
      </c>
      <c r="D89" s="6">
        <v>12.0</v>
      </c>
      <c r="E89" s="7">
        <f t="shared" si="1"/>
        <v>67.35330097</v>
      </c>
      <c r="F89" s="8">
        <v>78.88</v>
      </c>
      <c r="G89" s="9">
        <v>0.0</v>
      </c>
      <c r="H89" s="10">
        <f>IFERROR(VLOOKUP(B89, 'Kosten Docenten'!A:B, 2, FALSE), "")*J89</f>
        <v>0</v>
      </c>
      <c r="I89" s="10">
        <f>IFERROR(VLOOKUP(C89, 'Kosten Locatie'!A:B, 2, FALSE), "")*J89</f>
        <v>11.52669903</v>
      </c>
      <c r="J89" s="11">
        <v>0.75</v>
      </c>
      <c r="K89" s="12">
        <v>6.57</v>
      </c>
      <c r="L89" s="13"/>
      <c r="M89" s="14" t="s">
        <v>20</v>
      </c>
      <c r="N89" s="15">
        <v>0.625</v>
      </c>
    </row>
    <row r="90" ht="15.75" customHeight="1">
      <c r="A90" s="6" t="s">
        <v>150</v>
      </c>
      <c r="B90" s="6" t="s">
        <v>109</v>
      </c>
      <c r="C90" s="6" t="s">
        <v>41</v>
      </c>
      <c r="D90" s="6">
        <v>23.0</v>
      </c>
      <c r="E90" s="7">
        <f t="shared" si="1"/>
        <v>68.16536489</v>
      </c>
      <c r="F90" s="8">
        <v>139.12</v>
      </c>
      <c r="G90" s="9">
        <v>0.0</v>
      </c>
      <c r="H90" s="10">
        <f>IFERROR(VLOOKUP(B90, 'Kosten Docenten'!A:B, 2, FALSE), "")*J90</f>
        <v>48.33333333</v>
      </c>
      <c r="I90" s="10">
        <f>IFERROR(VLOOKUP(C90, 'Kosten Locatie'!A:B, 2, FALSE), "")*J90</f>
        <v>22.62130178</v>
      </c>
      <c r="J90" s="11">
        <v>1.0</v>
      </c>
      <c r="K90" s="12">
        <v>6.05</v>
      </c>
      <c r="L90" s="13"/>
      <c r="M90" s="14" t="s">
        <v>24</v>
      </c>
      <c r="N90" s="15">
        <v>0.8020833333333334</v>
      </c>
    </row>
    <row r="91" ht="15.75" customHeight="1">
      <c r="A91" s="6" t="s">
        <v>151</v>
      </c>
      <c r="B91" s="6" t="s">
        <v>113</v>
      </c>
      <c r="C91" s="6" t="s">
        <v>41</v>
      </c>
      <c r="D91" s="6">
        <v>13.0</v>
      </c>
      <c r="E91" s="7">
        <f t="shared" si="1"/>
        <v>68.17869822</v>
      </c>
      <c r="F91" s="8">
        <v>113.3</v>
      </c>
      <c r="G91" s="9">
        <v>0.0</v>
      </c>
      <c r="H91" s="10">
        <f>IFERROR(VLOOKUP(B91, 'Kosten Docenten'!A:B, 2, FALSE), "")*J91</f>
        <v>22.5</v>
      </c>
      <c r="I91" s="10">
        <f>IFERROR(VLOOKUP(C91, 'Kosten Locatie'!A:B, 2, FALSE), "")*J91</f>
        <v>22.62130178</v>
      </c>
      <c r="J91" s="11">
        <v>1.0</v>
      </c>
      <c r="K91" s="12">
        <v>8.72</v>
      </c>
      <c r="L91" s="13"/>
      <c r="M91" s="14" t="s">
        <v>31</v>
      </c>
      <c r="N91" s="15">
        <v>0.75</v>
      </c>
    </row>
    <row r="92" ht="15.75" customHeight="1">
      <c r="A92" s="6" t="s">
        <v>152</v>
      </c>
      <c r="B92" s="6" t="s">
        <v>137</v>
      </c>
      <c r="C92" s="6" t="s">
        <v>16</v>
      </c>
      <c r="D92" s="6">
        <v>14.0</v>
      </c>
      <c r="E92" s="7">
        <f t="shared" si="1"/>
        <v>68.30883495</v>
      </c>
      <c r="F92" s="8">
        <v>105.42</v>
      </c>
      <c r="G92" s="9">
        <v>19.6</v>
      </c>
      <c r="H92" s="10">
        <f>IFERROR(VLOOKUP(B92, 'Kosten Docenten'!A:B, 2, FALSE), "")*J92</f>
        <v>37.5</v>
      </c>
      <c r="I92" s="10">
        <f>IFERROR(VLOOKUP(C92, 'Kosten Locatie'!A:B, 2, FALSE), "")*J92</f>
        <v>19.21116505</v>
      </c>
      <c r="J92" s="11">
        <v>1.25</v>
      </c>
      <c r="K92" s="12">
        <v>7.53</v>
      </c>
      <c r="L92" s="13"/>
      <c r="M92" s="14" t="s">
        <v>52</v>
      </c>
      <c r="N92" s="15">
        <v>0.375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6" t="s">
        <v>153</v>
      </c>
      <c r="B93" s="6" t="s">
        <v>57</v>
      </c>
      <c r="C93" s="6" t="s">
        <v>16</v>
      </c>
      <c r="D93" s="6">
        <v>18.0</v>
      </c>
      <c r="E93" s="7">
        <f t="shared" si="1"/>
        <v>69.93106796</v>
      </c>
      <c r="F93" s="8">
        <v>110.3</v>
      </c>
      <c r="G93" s="9">
        <v>0.0</v>
      </c>
      <c r="H93" s="10">
        <f>IFERROR(VLOOKUP(B93, 'Kosten Docenten'!A:B, 2, FALSE), "")*J93</f>
        <v>25</v>
      </c>
      <c r="I93" s="10">
        <f>IFERROR(VLOOKUP(C93, 'Kosten Locatie'!A:B, 2, FALSE), "")*J93</f>
        <v>15.36893204</v>
      </c>
      <c r="J93" s="11">
        <v>1.0</v>
      </c>
      <c r="K93" s="12">
        <v>6.13</v>
      </c>
      <c r="L93" s="13"/>
      <c r="M93" s="14" t="s">
        <v>52</v>
      </c>
      <c r="N93" s="15">
        <v>0.5</v>
      </c>
    </row>
    <row r="94" ht="15.75" customHeight="1">
      <c r="A94" s="6" t="s">
        <v>154</v>
      </c>
      <c r="B94" s="6" t="s">
        <v>77</v>
      </c>
      <c r="C94" s="6" t="s">
        <v>16</v>
      </c>
      <c r="D94" s="6">
        <v>16.0</v>
      </c>
      <c r="E94" s="7">
        <f t="shared" si="1"/>
        <v>71.58106796</v>
      </c>
      <c r="F94" s="8">
        <v>111.95</v>
      </c>
      <c r="G94" s="9">
        <v>0.0</v>
      </c>
      <c r="H94" s="10">
        <f>IFERROR(VLOOKUP(B94, 'Kosten Docenten'!A:B, 2, FALSE), "")*J94</f>
        <v>25</v>
      </c>
      <c r="I94" s="10">
        <f>IFERROR(VLOOKUP(C94, 'Kosten Locatie'!A:B, 2, FALSE), "")*J94</f>
        <v>15.36893204</v>
      </c>
      <c r="J94" s="11">
        <v>1.0</v>
      </c>
      <c r="K94" s="12">
        <v>7.0</v>
      </c>
      <c r="L94" s="13"/>
      <c r="M94" s="14" t="s">
        <v>35</v>
      </c>
      <c r="N94" s="15">
        <v>0.75</v>
      </c>
    </row>
    <row r="95" ht="15.75" customHeight="1">
      <c r="A95" s="6" t="s">
        <v>155</v>
      </c>
      <c r="B95" s="6" t="s">
        <v>137</v>
      </c>
      <c r="C95" s="6" t="s">
        <v>16</v>
      </c>
      <c r="D95" s="6">
        <v>12.0</v>
      </c>
      <c r="E95" s="7">
        <f t="shared" si="1"/>
        <v>75.96660194</v>
      </c>
      <c r="F95" s="8">
        <v>93.98</v>
      </c>
      <c r="G95" s="9">
        <v>50.04</v>
      </c>
      <c r="H95" s="10">
        <f>IFERROR(VLOOKUP(B95, 'Kosten Docenten'!A:B, 2, FALSE), "")*J95</f>
        <v>45</v>
      </c>
      <c r="I95" s="10">
        <f>IFERROR(VLOOKUP(C95, 'Kosten Locatie'!A:B, 2, FALSE), "")*J95</f>
        <v>23.05339806</v>
      </c>
      <c r="J95" s="11">
        <v>1.5</v>
      </c>
      <c r="K95" s="12">
        <v>7.83</v>
      </c>
      <c r="L95" s="13"/>
      <c r="M95" s="14" t="s">
        <v>52</v>
      </c>
      <c r="N95" s="15">
        <v>0.4791666666666667</v>
      </c>
    </row>
    <row r="96" ht="15.75" customHeight="1">
      <c r="A96" s="6" t="s">
        <v>156</v>
      </c>
      <c r="B96" s="6" t="s">
        <v>157</v>
      </c>
      <c r="C96" s="6" t="s">
        <v>16</v>
      </c>
      <c r="D96" s="6">
        <v>14.0</v>
      </c>
      <c r="E96" s="7">
        <f t="shared" si="1"/>
        <v>77.14106796</v>
      </c>
      <c r="F96" s="8">
        <v>115.01</v>
      </c>
      <c r="G96" s="9">
        <v>0.0</v>
      </c>
      <c r="H96" s="10">
        <f>IFERROR(VLOOKUP(B96, 'Kosten Docenten'!A:B, 2, FALSE), "")*J96</f>
        <v>22.5</v>
      </c>
      <c r="I96" s="10">
        <f>IFERROR(VLOOKUP(C96, 'Kosten Locatie'!A:B, 2, FALSE), "")*J96</f>
        <v>15.36893204</v>
      </c>
      <c r="J96" s="11">
        <v>1.0</v>
      </c>
      <c r="K96" s="12">
        <v>8.21</v>
      </c>
      <c r="L96" s="13"/>
      <c r="M96" s="14" t="s">
        <v>52</v>
      </c>
      <c r="N96" s="15">
        <v>0.5416666666666666</v>
      </c>
    </row>
    <row r="97" ht="15.75" customHeight="1">
      <c r="A97" s="6" t="s">
        <v>158</v>
      </c>
      <c r="B97" s="6" t="s">
        <v>30</v>
      </c>
      <c r="C97" s="6" t="s">
        <v>16</v>
      </c>
      <c r="D97" s="6">
        <v>17.0</v>
      </c>
      <c r="E97" s="7">
        <f t="shared" si="1"/>
        <v>77.7402075</v>
      </c>
      <c r="F97" s="8">
        <v>120.57</v>
      </c>
      <c r="G97" s="9">
        <v>47.95</v>
      </c>
      <c r="H97" s="10">
        <f>IFERROR(VLOOKUP(B97, 'Kosten Docenten'!A:B, 2, FALSE), "")*J97</f>
        <v>71.56862745</v>
      </c>
      <c r="I97" s="10">
        <f>IFERROR(VLOOKUP(C97, 'Kosten Locatie'!A:B, 2, FALSE), "")*J97</f>
        <v>19.21116505</v>
      </c>
      <c r="J97" s="11">
        <v>1.25</v>
      </c>
      <c r="K97" s="12">
        <v>7.09</v>
      </c>
      <c r="L97" s="13"/>
      <c r="M97" s="14" t="s">
        <v>31</v>
      </c>
      <c r="N97" s="15">
        <v>0.6458333333333334</v>
      </c>
    </row>
    <row r="98" ht="15.75" customHeight="1">
      <c r="A98" s="6" t="s">
        <v>159</v>
      </c>
      <c r="B98" s="6" t="s">
        <v>143</v>
      </c>
      <c r="C98" s="6" t="s">
        <v>16</v>
      </c>
      <c r="D98" s="6">
        <v>14.0</v>
      </c>
      <c r="E98" s="7">
        <f t="shared" si="1"/>
        <v>79.29106796</v>
      </c>
      <c r="F98" s="8">
        <v>104.66</v>
      </c>
      <c r="G98" s="9">
        <v>0.0</v>
      </c>
      <c r="H98" s="10">
        <f>IFERROR(VLOOKUP(B98, 'Kosten Docenten'!A:B, 2, FALSE), "")*J98</f>
        <v>10</v>
      </c>
      <c r="I98" s="10">
        <f>IFERROR(VLOOKUP(C98, 'Kosten Locatie'!A:B, 2, FALSE), "")*J98</f>
        <v>15.36893204</v>
      </c>
      <c r="J98" s="11">
        <v>1.0</v>
      </c>
      <c r="K98" s="12">
        <v>7.48</v>
      </c>
      <c r="L98" s="13"/>
      <c r="M98" s="14" t="s">
        <v>24</v>
      </c>
      <c r="N98" s="15">
        <v>0.6666666666666666</v>
      </c>
    </row>
    <row r="99" ht="15.75" customHeight="1">
      <c r="A99" s="6" t="s">
        <v>160</v>
      </c>
      <c r="B99" s="6" t="s">
        <v>102</v>
      </c>
      <c r="C99" s="6" t="s">
        <v>16</v>
      </c>
      <c r="D99" s="6">
        <v>21.0</v>
      </c>
      <c r="E99" s="7">
        <f t="shared" si="1"/>
        <v>79.87106796</v>
      </c>
      <c r="F99" s="8">
        <v>95.24</v>
      </c>
      <c r="G99" s="9">
        <v>0.0</v>
      </c>
      <c r="H99" s="10">
        <f>IFERROR(VLOOKUP(B99, 'Kosten Docenten'!A:B, 2, FALSE), "")*J99</f>
        <v>0</v>
      </c>
      <c r="I99" s="10">
        <f>IFERROR(VLOOKUP(C99, 'Kosten Locatie'!A:B, 2, FALSE), "")*J99</f>
        <v>15.36893204</v>
      </c>
      <c r="J99" s="11">
        <v>1.0</v>
      </c>
      <c r="K99" s="12">
        <v>4.54</v>
      </c>
      <c r="L99" s="13"/>
      <c r="M99" s="14" t="s">
        <v>24</v>
      </c>
      <c r="N99" s="15">
        <v>0.6666666666666666</v>
      </c>
    </row>
    <row r="100" ht="15.75" customHeight="1">
      <c r="A100" s="6" t="s">
        <v>161</v>
      </c>
      <c r="B100" s="6" t="s">
        <v>162</v>
      </c>
      <c r="C100" s="6" t="s">
        <v>41</v>
      </c>
      <c r="D100" s="6">
        <v>19.0</v>
      </c>
      <c r="E100" s="7">
        <f t="shared" si="1"/>
        <v>82.92402367</v>
      </c>
      <c r="F100" s="8">
        <v>118.64</v>
      </c>
      <c r="G100" s="9">
        <v>0.0</v>
      </c>
      <c r="H100" s="10">
        <f>IFERROR(VLOOKUP(B100, 'Kosten Docenten'!A:B, 2, FALSE), "")*J100</f>
        <v>18.75</v>
      </c>
      <c r="I100" s="10">
        <f>IFERROR(VLOOKUP(C100, 'Kosten Locatie'!A:B, 2, FALSE), "")*J100</f>
        <v>16.96597633</v>
      </c>
      <c r="J100" s="11">
        <v>0.75</v>
      </c>
      <c r="K100" s="12">
        <v>6.24</v>
      </c>
      <c r="L100" s="13"/>
      <c r="M100" s="14" t="s">
        <v>52</v>
      </c>
      <c r="N100" s="15">
        <v>0.4166666666666667</v>
      </c>
    </row>
    <row r="101" ht="15.75" customHeight="1">
      <c r="A101" s="6" t="s">
        <v>163</v>
      </c>
      <c r="B101" s="6" t="s">
        <v>107</v>
      </c>
      <c r="C101" s="6" t="s">
        <v>23</v>
      </c>
      <c r="D101" s="6">
        <v>14.0</v>
      </c>
      <c r="E101" s="7">
        <f t="shared" si="1"/>
        <v>83.18953846</v>
      </c>
      <c r="F101" s="8">
        <v>117.57</v>
      </c>
      <c r="G101" s="9">
        <v>0.0</v>
      </c>
      <c r="H101" s="10">
        <f>IFERROR(VLOOKUP(B101, 'Kosten Docenten'!A:B, 2, FALSE), "")*J101</f>
        <v>20</v>
      </c>
      <c r="I101" s="10">
        <f>IFERROR(VLOOKUP(C101, 'Kosten Locatie'!A:B, 2, FALSE), "")*J101</f>
        <v>14.38046154</v>
      </c>
      <c r="J101" s="11">
        <v>1.0</v>
      </c>
      <c r="K101" s="12">
        <v>8.4</v>
      </c>
      <c r="L101" s="13"/>
      <c r="M101" s="14" t="s">
        <v>20</v>
      </c>
      <c r="N101" s="15">
        <v>0.6666666666666666</v>
      </c>
    </row>
    <row r="102" ht="15.75" customHeight="1">
      <c r="A102" s="6" t="s">
        <v>164</v>
      </c>
      <c r="B102" s="6" t="s">
        <v>102</v>
      </c>
      <c r="C102" s="6" t="s">
        <v>16</v>
      </c>
      <c r="D102" s="6">
        <v>16.0</v>
      </c>
      <c r="E102" s="7">
        <f t="shared" si="1"/>
        <v>83.34883495</v>
      </c>
      <c r="F102" s="8">
        <v>79.43</v>
      </c>
      <c r="G102" s="9">
        <v>23.13</v>
      </c>
      <c r="H102" s="10">
        <f>IFERROR(VLOOKUP(B102, 'Kosten Docenten'!A:B, 2, FALSE), "")*J102</f>
        <v>0</v>
      </c>
      <c r="I102" s="10">
        <f>IFERROR(VLOOKUP(C102, 'Kosten Locatie'!A:B, 2, FALSE), "")*J102</f>
        <v>19.21116505</v>
      </c>
      <c r="J102" s="11">
        <v>1.25</v>
      </c>
      <c r="K102" s="12">
        <v>4.96</v>
      </c>
      <c r="L102" s="13"/>
      <c r="M102" s="14" t="s">
        <v>35</v>
      </c>
      <c r="N102" s="15">
        <v>0.78125</v>
      </c>
    </row>
    <row r="103" ht="15.75" customHeight="1">
      <c r="A103" s="6" t="s">
        <v>165</v>
      </c>
      <c r="B103" s="6" t="s">
        <v>40</v>
      </c>
      <c r="C103" s="6" t="s">
        <v>41</v>
      </c>
      <c r="D103" s="6">
        <v>17.0</v>
      </c>
      <c r="E103" s="7">
        <f t="shared" si="1"/>
        <v>84.49934911</v>
      </c>
      <c r="F103" s="8">
        <v>64.65</v>
      </c>
      <c r="G103" s="9">
        <v>58.66</v>
      </c>
      <c r="H103" s="10">
        <f>IFERROR(VLOOKUP(B103, 'Kosten Docenten'!A:B, 2, FALSE), "")*J103</f>
        <v>27.5</v>
      </c>
      <c r="I103" s="10">
        <f>IFERROR(VLOOKUP(C103, 'Kosten Locatie'!A:B, 2, FALSE), "")*J103</f>
        <v>11.31065089</v>
      </c>
      <c r="J103" s="11">
        <v>0.5</v>
      </c>
      <c r="K103" s="12">
        <v>3.8</v>
      </c>
      <c r="L103" s="13"/>
      <c r="M103" s="14" t="s">
        <v>20</v>
      </c>
      <c r="N103" s="15">
        <v>0.84375</v>
      </c>
    </row>
    <row r="104" ht="15.75" customHeight="1">
      <c r="A104" s="6" t="s">
        <v>166</v>
      </c>
      <c r="B104" s="6" t="s">
        <v>80</v>
      </c>
      <c r="C104" s="6" t="s">
        <v>81</v>
      </c>
      <c r="D104" s="6">
        <v>14.0</v>
      </c>
      <c r="E104" s="7">
        <f t="shared" si="1"/>
        <v>85.65</v>
      </c>
      <c r="F104" s="8">
        <v>123.15</v>
      </c>
      <c r="G104" s="8">
        <v>0.0</v>
      </c>
      <c r="H104" s="10">
        <f>IFERROR(VLOOKUP(B104, 'Kosten Docenten'!A:B, 2, FALSE), "")*J104</f>
        <v>20</v>
      </c>
      <c r="I104" s="10">
        <f>IFERROR(VLOOKUP(C104, 'Kosten Locatie'!A:B, 2, FALSE), "")*J104</f>
        <v>17.5</v>
      </c>
      <c r="J104" s="11">
        <v>1.0</v>
      </c>
      <c r="K104" s="12">
        <v>8.8</v>
      </c>
      <c r="L104" s="13"/>
      <c r="M104" s="14" t="s">
        <v>17</v>
      </c>
      <c r="N104" s="15">
        <v>0.6666666666666666</v>
      </c>
    </row>
    <row r="105" ht="15.75" customHeight="1">
      <c r="A105" s="6" t="s">
        <v>167</v>
      </c>
      <c r="B105" s="6" t="s">
        <v>15</v>
      </c>
      <c r="C105" s="6" t="s">
        <v>16</v>
      </c>
      <c r="D105" s="6">
        <v>29.0</v>
      </c>
      <c r="E105" s="7">
        <f t="shared" si="1"/>
        <v>87.27106796</v>
      </c>
      <c r="F105" s="8">
        <v>137.64</v>
      </c>
      <c r="G105" s="9">
        <v>0.0</v>
      </c>
      <c r="H105" s="10">
        <f>IFERROR(VLOOKUP(B105, 'Kosten Docenten'!A:B, 2, FALSE), "")*J105</f>
        <v>35</v>
      </c>
      <c r="I105" s="10">
        <f>IFERROR(VLOOKUP(C105, 'Kosten Locatie'!A:B, 2, FALSE), "")*J105</f>
        <v>15.36893204</v>
      </c>
      <c r="J105" s="11">
        <v>1.0</v>
      </c>
      <c r="K105" s="12">
        <v>4.75</v>
      </c>
      <c r="L105" s="13"/>
      <c r="M105" s="14" t="s">
        <v>20</v>
      </c>
      <c r="N105" s="15">
        <v>0.7083333333333334</v>
      </c>
    </row>
    <row r="106" ht="15.75" customHeight="1">
      <c r="A106" s="6" t="s">
        <v>168</v>
      </c>
      <c r="B106" s="6" t="s">
        <v>107</v>
      </c>
      <c r="C106" s="6" t="s">
        <v>23</v>
      </c>
      <c r="D106" s="6">
        <v>15.0</v>
      </c>
      <c r="E106" s="7">
        <f t="shared" si="1"/>
        <v>89.67953846</v>
      </c>
      <c r="F106" s="8">
        <v>124.06</v>
      </c>
      <c r="G106" s="9">
        <v>0.0</v>
      </c>
      <c r="H106" s="10">
        <f>IFERROR(VLOOKUP(B106, 'Kosten Docenten'!A:B, 2, FALSE), "")*J106</f>
        <v>20</v>
      </c>
      <c r="I106" s="10">
        <f>IFERROR(VLOOKUP(C106, 'Kosten Locatie'!A:B, 2, FALSE), "")*J106</f>
        <v>14.38046154</v>
      </c>
      <c r="J106" s="11">
        <v>1.0</v>
      </c>
      <c r="K106" s="12">
        <v>8.27</v>
      </c>
      <c r="L106" s="13"/>
      <c r="M106" s="14" t="s">
        <v>20</v>
      </c>
      <c r="N106" s="15">
        <v>0.7083333333333334</v>
      </c>
    </row>
    <row r="107" ht="15.75" customHeight="1">
      <c r="A107" s="6" t="s">
        <v>169</v>
      </c>
      <c r="B107" s="6" t="s">
        <v>137</v>
      </c>
      <c r="C107" s="6" t="s">
        <v>16</v>
      </c>
      <c r="D107" s="6">
        <v>19.0</v>
      </c>
      <c r="E107" s="7">
        <f t="shared" si="1"/>
        <v>89.75106796</v>
      </c>
      <c r="F107" s="8">
        <v>135.12</v>
      </c>
      <c r="G107" s="9">
        <v>0.0</v>
      </c>
      <c r="H107" s="10">
        <f>IFERROR(VLOOKUP(B107, 'Kosten Docenten'!A:B, 2, FALSE), "")*J107</f>
        <v>30</v>
      </c>
      <c r="I107" s="10">
        <f>IFERROR(VLOOKUP(C107, 'Kosten Locatie'!A:B, 2, FALSE), "")*J107</f>
        <v>15.36893204</v>
      </c>
      <c r="J107" s="11">
        <v>1.0</v>
      </c>
      <c r="K107" s="12">
        <v>7.11</v>
      </c>
      <c r="L107" s="13"/>
      <c r="M107" s="14" t="s">
        <v>31</v>
      </c>
      <c r="N107" s="15">
        <v>0.875</v>
      </c>
    </row>
    <row r="108" ht="15.75" customHeight="1">
      <c r="A108" s="6" t="s">
        <v>170</v>
      </c>
      <c r="B108" s="6" t="s">
        <v>62</v>
      </c>
      <c r="C108" s="6" t="s">
        <v>16</v>
      </c>
      <c r="D108" s="6">
        <v>17.0</v>
      </c>
      <c r="E108" s="7">
        <f t="shared" si="1"/>
        <v>89.98106796</v>
      </c>
      <c r="F108" s="8">
        <v>131.6</v>
      </c>
      <c r="G108" s="9">
        <v>0.0</v>
      </c>
      <c r="H108" s="10">
        <f>IFERROR(VLOOKUP(B108, 'Kosten Docenten'!A:B, 2, FALSE), "")*J108</f>
        <v>26.25</v>
      </c>
      <c r="I108" s="10">
        <f>IFERROR(VLOOKUP(C108, 'Kosten Locatie'!A:B, 2, FALSE), "")*J108</f>
        <v>15.36893204</v>
      </c>
      <c r="J108" s="11">
        <v>1.0</v>
      </c>
      <c r="K108" s="12">
        <v>7.74</v>
      </c>
      <c r="L108" s="13"/>
      <c r="M108" s="14" t="s">
        <v>35</v>
      </c>
      <c r="N108" s="15">
        <v>0.7083333333333334</v>
      </c>
    </row>
    <row r="109" ht="15.75" customHeight="1">
      <c r="A109" s="6" t="s">
        <v>171</v>
      </c>
      <c r="B109" s="6" t="s">
        <v>68</v>
      </c>
      <c r="C109" s="6" t="s">
        <v>16</v>
      </c>
      <c r="D109" s="6">
        <v>17.0</v>
      </c>
      <c r="E109" s="7">
        <f t="shared" si="1"/>
        <v>91.88106796</v>
      </c>
      <c r="F109" s="8">
        <v>137.25</v>
      </c>
      <c r="G109" s="9">
        <v>0.0</v>
      </c>
      <c r="H109" s="10">
        <f>IFERROR(VLOOKUP(B109, 'Kosten Docenten'!A:B, 2, FALSE), "")*J109</f>
        <v>30</v>
      </c>
      <c r="I109" s="10">
        <f>IFERROR(VLOOKUP(C109, 'Kosten Locatie'!A:B, 2, FALSE), "")*J109</f>
        <v>15.36893204</v>
      </c>
      <c r="J109" s="11">
        <v>1.0</v>
      </c>
      <c r="K109" s="12">
        <v>8.07</v>
      </c>
      <c r="L109" s="13"/>
      <c r="M109" s="14" t="s">
        <v>24</v>
      </c>
      <c r="N109" s="15">
        <v>0.8333333333333334</v>
      </c>
    </row>
    <row r="110" ht="15.75" customHeight="1">
      <c r="A110" s="6" t="s">
        <v>172</v>
      </c>
      <c r="B110" s="6" t="s">
        <v>94</v>
      </c>
      <c r="C110" s="6" t="s">
        <v>23</v>
      </c>
      <c r="D110" s="6">
        <v>17.0</v>
      </c>
      <c r="E110" s="7">
        <f t="shared" si="1"/>
        <v>93.08953846</v>
      </c>
      <c r="F110" s="8">
        <v>127.47</v>
      </c>
      <c r="G110" s="9">
        <v>0.0</v>
      </c>
      <c r="H110" s="10">
        <f>IFERROR(VLOOKUP(B110, 'Kosten Docenten'!A:B, 2, FALSE), "")*J110</f>
        <v>20</v>
      </c>
      <c r="I110" s="10">
        <f>IFERROR(VLOOKUP(C110, 'Kosten Locatie'!A:B, 2, FALSE), "")*J110</f>
        <v>14.38046154</v>
      </c>
      <c r="J110" s="11">
        <v>1.0</v>
      </c>
      <c r="K110" s="12">
        <v>7.5</v>
      </c>
      <c r="L110" s="13"/>
      <c r="M110" s="14" t="s">
        <v>17</v>
      </c>
      <c r="N110" s="15">
        <v>0.7291666666666666</v>
      </c>
    </row>
    <row r="111" ht="15.75" customHeight="1">
      <c r="A111" s="6" t="s">
        <v>173</v>
      </c>
      <c r="B111" s="6" t="s">
        <v>64</v>
      </c>
      <c r="C111" s="6" t="s">
        <v>174</v>
      </c>
      <c r="D111" s="6">
        <v>14.0</v>
      </c>
      <c r="E111" s="7">
        <f t="shared" si="1"/>
        <v>93.6</v>
      </c>
      <c r="F111" s="8">
        <v>122.65</v>
      </c>
      <c r="G111" s="9">
        <v>0.0</v>
      </c>
      <c r="H111" s="10">
        <f>IFERROR(VLOOKUP(B111, 'Kosten Docenten'!A:B, 2, FALSE), "")*J111</f>
        <v>10</v>
      </c>
      <c r="I111" s="10">
        <f>IFERROR(VLOOKUP(C111, 'Kosten Locatie'!A:B, 2, FALSE), "")*J111</f>
        <v>19.05</v>
      </c>
      <c r="J111" s="11">
        <v>1.0</v>
      </c>
      <c r="K111" s="12">
        <v>8.76</v>
      </c>
      <c r="L111" s="13"/>
      <c r="M111" s="14" t="s">
        <v>24</v>
      </c>
      <c r="N111" s="15">
        <v>0.6666666666666666</v>
      </c>
    </row>
    <row r="112" ht="15.75" customHeight="1">
      <c r="A112" s="6" t="s">
        <v>175</v>
      </c>
      <c r="B112" s="6" t="s">
        <v>26</v>
      </c>
      <c r="C112" s="6" t="s">
        <v>16</v>
      </c>
      <c r="D112" s="6">
        <v>24.0</v>
      </c>
      <c r="E112" s="7">
        <f t="shared" si="1"/>
        <v>95.08773463</v>
      </c>
      <c r="F112" s="8">
        <v>159.93</v>
      </c>
      <c r="G112" s="9">
        <v>0.0</v>
      </c>
      <c r="H112" s="10">
        <f>IFERROR(VLOOKUP(B112, 'Kosten Docenten'!A:B, 2, FALSE), "")*J112</f>
        <v>49.47333333</v>
      </c>
      <c r="I112" s="10">
        <f>IFERROR(VLOOKUP(C112, 'Kosten Locatie'!A:B, 2, FALSE), "")*J112</f>
        <v>15.36893204</v>
      </c>
      <c r="J112" s="11">
        <v>1.0</v>
      </c>
      <c r="K112" s="12">
        <v>6.66</v>
      </c>
      <c r="L112" s="13"/>
      <c r="M112" s="14" t="s">
        <v>24</v>
      </c>
      <c r="N112" s="15">
        <v>0.7916666666666666</v>
      </c>
    </row>
    <row r="113" ht="15.75" customHeight="1">
      <c r="A113" s="6" t="s">
        <v>176</v>
      </c>
      <c r="B113" s="6" t="s">
        <v>68</v>
      </c>
      <c r="C113" s="6" t="s">
        <v>16</v>
      </c>
      <c r="D113" s="6">
        <v>25.0</v>
      </c>
      <c r="E113" s="7">
        <f t="shared" si="1"/>
        <v>97.14106796</v>
      </c>
      <c r="F113" s="8">
        <v>142.51</v>
      </c>
      <c r="G113" s="9">
        <v>0.0</v>
      </c>
      <c r="H113" s="10">
        <f>IFERROR(VLOOKUP(B113, 'Kosten Docenten'!A:B, 2, FALSE), "")*J113</f>
        <v>30</v>
      </c>
      <c r="I113" s="10">
        <f>IFERROR(VLOOKUP(C113, 'Kosten Locatie'!A:B, 2, FALSE), "")*J113</f>
        <v>15.36893204</v>
      </c>
      <c r="J113" s="11">
        <v>1.0</v>
      </c>
      <c r="K113" s="12">
        <v>5.7</v>
      </c>
      <c r="L113" s="13"/>
      <c r="M113" s="14" t="s">
        <v>17</v>
      </c>
      <c r="N113" s="15">
        <v>0.7916666666666666</v>
      </c>
    </row>
    <row r="114" ht="15.75" customHeight="1">
      <c r="A114" s="6" t="s">
        <v>177</v>
      </c>
      <c r="B114" s="6" t="s">
        <v>40</v>
      </c>
      <c r="C114" s="6" t="s">
        <v>41</v>
      </c>
      <c r="D114" s="6">
        <v>24.0</v>
      </c>
      <c r="E114" s="7">
        <f t="shared" si="1"/>
        <v>98.15337278</v>
      </c>
      <c r="F114" s="8">
        <v>195.18</v>
      </c>
      <c r="G114" s="9">
        <v>0.0</v>
      </c>
      <c r="H114" s="10">
        <f>IFERROR(VLOOKUP(B114, 'Kosten Docenten'!A:B, 2, FALSE), "")*J114</f>
        <v>68.75</v>
      </c>
      <c r="I114" s="10">
        <f>IFERROR(VLOOKUP(C114, 'Kosten Locatie'!A:B, 2, FALSE), "")*J114</f>
        <v>28.27662722</v>
      </c>
      <c r="J114" s="11">
        <v>1.25</v>
      </c>
      <c r="K114" s="12">
        <v>8.13</v>
      </c>
      <c r="L114" s="13"/>
      <c r="M114" s="14" t="s">
        <v>20</v>
      </c>
      <c r="N114" s="15">
        <v>0.7916666666666666</v>
      </c>
    </row>
    <row r="115" ht="15.75" customHeight="1">
      <c r="A115" s="6" t="s">
        <v>178</v>
      </c>
      <c r="B115" s="6" t="s">
        <v>102</v>
      </c>
      <c r="C115" s="6" t="s">
        <v>16</v>
      </c>
      <c r="D115" s="6">
        <v>27.0</v>
      </c>
      <c r="E115" s="7">
        <f t="shared" si="1"/>
        <v>98.17106796</v>
      </c>
      <c r="F115" s="8">
        <v>113.54</v>
      </c>
      <c r="G115" s="9">
        <v>0.0</v>
      </c>
      <c r="H115" s="10">
        <f>IFERROR(VLOOKUP(B115, 'Kosten Docenten'!A:B, 2, FALSE), "")*J115</f>
        <v>0</v>
      </c>
      <c r="I115" s="10">
        <f>IFERROR(VLOOKUP(C115, 'Kosten Locatie'!A:B, 2, FALSE), "")*J115</f>
        <v>15.36893204</v>
      </c>
      <c r="J115" s="11">
        <v>1.0</v>
      </c>
      <c r="K115" s="12">
        <v>4.21</v>
      </c>
      <c r="L115" s="13"/>
      <c r="M115" s="14" t="s">
        <v>24</v>
      </c>
      <c r="N115" s="15">
        <v>0.8333333333333334</v>
      </c>
    </row>
    <row r="116" ht="15.75" customHeight="1">
      <c r="A116" s="6" t="s">
        <v>179</v>
      </c>
      <c r="B116" s="6" t="s">
        <v>109</v>
      </c>
      <c r="C116" s="6" t="s">
        <v>41</v>
      </c>
      <c r="D116" s="6">
        <v>21.0</v>
      </c>
      <c r="E116" s="7">
        <f t="shared" si="1"/>
        <v>98.90536489</v>
      </c>
      <c r="F116" s="8">
        <v>169.86</v>
      </c>
      <c r="G116" s="9">
        <v>0.0</v>
      </c>
      <c r="H116" s="10">
        <f>IFERROR(VLOOKUP(B116, 'Kosten Docenten'!A:B, 2, FALSE), "")*J116</f>
        <v>48.33333333</v>
      </c>
      <c r="I116" s="10">
        <f>IFERROR(VLOOKUP(C116, 'Kosten Locatie'!A:B, 2, FALSE), "")*J116</f>
        <v>22.62130178</v>
      </c>
      <c r="J116" s="11">
        <v>1.0</v>
      </c>
      <c r="K116" s="12">
        <v>8.09</v>
      </c>
      <c r="L116" s="13"/>
      <c r="M116" s="14" t="s">
        <v>24</v>
      </c>
      <c r="N116" s="15">
        <v>0.7083333333333334</v>
      </c>
    </row>
    <row r="117" ht="15.75" customHeight="1">
      <c r="A117" s="16" t="s">
        <v>180</v>
      </c>
      <c r="B117" s="16" t="s">
        <v>102</v>
      </c>
      <c r="C117" s="16" t="s">
        <v>16</v>
      </c>
      <c r="D117" s="16">
        <v>10.0</v>
      </c>
      <c r="E117" s="7">
        <f t="shared" si="1"/>
        <v>100.3887379</v>
      </c>
      <c r="F117" s="17">
        <v>77.09</v>
      </c>
      <c r="G117" s="18">
        <v>77.09</v>
      </c>
      <c r="H117" s="19">
        <f>IFERROR(VLOOKUP(B117, 'Kosten Docenten'!A:B, 2, FALSE), "")*J117</f>
        <v>0</v>
      </c>
      <c r="I117" s="19">
        <f>IFERROR(VLOOKUP(C117, 'Kosten Locatie'!A:B, 2, FALSE), "")*J117</f>
        <v>53.79126214</v>
      </c>
      <c r="J117" s="11">
        <v>3.5</v>
      </c>
      <c r="K117" s="12">
        <v>7.71</v>
      </c>
      <c r="L117" s="13"/>
      <c r="M117" s="14" t="s">
        <v>52</v>
      </c>
      <c r="N117" s="15">
        <v>0.6041666666666666</v>
      </c>
    </row>
    <row r="118" ht="15.75" customHeight="1">
      <c r="A118" s="6" t="s">
        <v>181</v>
      </c>
      <c r="B118" s="6" t="s">
        <v>102</v>
      </c>
      <c r="C118" s="6" t="s">
        <v>16</v>
      </c>
      <c r="D118" s="6">
        <v>18.0</v>
      </c>
      <c r="E118" s="7">
        <f t="shared" si="1"/>
        <v>101.928835</v>
      </c>
      <c r="F118" s="8">
        <v>94.7</v>
      </c>
      <c r="G118" s="9">
        <v>26.44</v>
      </c>
      <c r="H118" s="10">
        <f>IFERROR(VLOOKUP(B118, 'Kosten Docenten'!A:B, 2, FALSE), "")*J118</f>
        <v>0</v>
      </c>
      <c r="I118" s="10">
        <f>IFERROR(VLOOKUP(C118, 'Kosten Locatie'!A:B, 2, FALSE), "")*J118</f>
        <v>19.21116505</v>
      </c>
      <c r="J118" s="11">
        <v>1.25</v>
      </c>
      <c r="K118" s="12">
        <v>5.26</v>
      </c>
      <c r="L118" s="13"/>
      <c r="M118" s="14" t="s">
        <v>35</v>
      </c>
      <c r="N118" s="15">
        <v>0.84375</v>
      </c>
    </row>
    <row r="119" ht="15.75" customHeight="1">
      <c r="A119" s="6" t="s">
        <v>182</v>
      </c>
      <c r="B119" s="6" t="s">
        <v>183</v>
      </c>
      <c r="C119" s="6" t="s">
        <v>174</v>
      </c>
      <c r="D119" s="6">
        <v>17.0</v>
      </c>
      <c r="E119" s="7">
        <f t="shared" si="1"/>
        <v>103.05</v>
      </c>
      <c r="F119" s="8">
        <v>139.6</v>
      </c>
      <c r="G119" s="9">
        <v>0.0</v>
      </c>
      <c r="H119" s="10">
        <f>IFERROR(VLOOKUP(B119, 'Kosten Docenten'!A:B, 2, FALSE), "")*J119</f>
        <v>17.5</v>
      </c>
      <c r="I119" s="10">
        <f>IFERROR(VLOOKUP(C119, 'Kosten Locatie'!A:B, 2, FALSE), "")*J119</f>
        <v>19.05</v>
      </c>
      <c r="J119" s="11">
        <v>1.0</v>
      </c>
      <c r="K119" s="12">
        <v>8.21</v>
      </c>
      <c r="L119" s="13"/>
      <c r="M119" s="14" t="s">
        <v>24</v>
      </c>
      <c r="N119" s="15">
        <v>0.75</v>
      </c>
    </row>
    <row r="120" ht="15.75" customHeight="1">
      <c r="A120" s="6" t="s">
        <v>184</v>
      </c>
      <c r="B120" s="6" t="s">
        <v>162</v>
      </c>
      <c r="C120" s="6" t="s">
        <v>41</v>
      </c>
      <c r="D120" s="6">
        <v>17.0</v>
      </c>
      <c r="E120" s="7">
        <f t="shared" si="1"/>
        <v>103.4186982</v>
      </c>
      <c r="F120" s="8">
        <v>151.04</v>
      </c>
      <c r="G120" s="9">
        <v>0.0</v>
      </c>
      <c r="H120" s="10">
        <f>IFERROR(VLOOKUP(B120, 'Kosten Docenten'!A:B, 2, FALSE), "")*J120</f>
        <v>25</v>
      </c>
      <c r="I120" s="10">
        <f>IFERROR(VLOOKUP(C120, 'Kosten Locatie'!A:B, 2, FALSE), "")*J120</f>
        <v>22.62130178</v>
      </c>
      <c r="J120" s="11">
        <v>1.0</v>
      </c>
      <c r="K120" s="12">
        <v>8.88</v>
      </c>
      <c r="L120" s="13"/>
      <c r="M120" s="14" t="s">
        <v>52</v>
      </c>
      <c r="N120" s="15">
        <v>0.4583333333333333</v>
      </c>
    </row>
    <row r="121" ht="15.75" customHeight="1">
      <c r="A121" s="6" t="s">
        <v>185</v>
      </c>
      <c r="B121" s="6" t="s">
        <v>109</v>
      </c>
      <c r="C121" s="6" t="s">
        <v>41</v>
      </c>
      <c r="D121" s="6">
        <v>20.0</v>
      </c>
      <c r="E121" s="7">
        <f t="shared" si="1"/>
        <v>104.0753649</v>
      </c>
      <c r="F121" s="8">
        <v>175.03</v>
      </c>
      <c r="G121" s="9">
        <v>0.0</v>
      </c>
      <c r="H121" s="10">
        <f>IFERROR(VLOOKUP(B121, 'Kosten Docenten'!A:B, 2, FALSE), "")*J121</f>
        <v>48.33333333</v>
      </c>
      <c r="I121" s="10">
        <f>IFERROR(VLOOKUP(C121, 'Kosten Locatie'!A:B, 2, FALSE), "")*J121</f>
        <v>22.62130178</v>
      </c>
      <c r="J121" s="11">
        <v>1.0</v>
      </c>
      <c r="K121" s="12">
        <v>8.75</v>
      </c>
      <c r="L121" s="13"/>
      <c r="M121" s="14" t="s">
        <v>24</v>
      </c>
      <c r="N121" s="15">
        <v>0.6666666666666666</v>
      </c>
    </row>
    <row r="122" ht="15.75" customHeight="1">
      <c r="A122" s="6" t="s">
        <v>186</v>
      </c>
      <c r="B122" s="6" t="s">
        <v>137</v>
      </c>
      <c r="C122" s="6" t="s">
        <v>16</v>
      </c>
      <c r="D122" s="6">
        <v>16.0</v>
      </c>
      <c r="E122" s="7">
        <f t="shared" si="1"/>
        <v>104.531068</v>
      </c>
      <c r="F122" s="8">
        <v>149.9</v>
      </c>
      <c r="G122" s="9">
        <v>0.0</v>
      </c>
      <c r="H122" s="10">
        <f>IFERROR(VLOOKUP(B122, 'Kosten Docenten'!A:B, 2, FALSE), "")*J122</f>
        <v>30</v>
      </c>
      <c r="I122" s="10">
        <f>IFERROR(VLOOKUP(C122, 'Kosten Locatie'!A:B, 2, FALSE), "")*J122</f>
        <v>15.36893204</v>
      </c>
      <c r="J122" s="11">
        <v>1.0</v>
      </c>
      <c r="K122" s="12">
        <v>9.37</v>
      </c>
      <c r="L122" s="13"/>
      <c r="M122" s="14" t="s">
        <v>31</v>
      </c>
      <c r="N122" s="15">
        <v>0.8333333333333334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6" t="s">
        <v>187</v>
      </c>
      <c r="B123" s="6" t="s">
        <v>109</v>
      </c>
      <c r="C123" s="6" t="s">
        <v>41</v>
      </c>
      <c r="D123" s="6">
        <v>23.0</v>
      </c>
      <c r="E123" s="7">
        <f t="shared" si="1"/>
        <v>104.9053649</v>
      </c>
      <c r="F123" s="8">
        <v>175.86</v>
      </c>
      <c r="G123" s="9">
        <v>0.0</v>
      </c>
      <c r="H123" s="10">
        <f>IFERROR(VLOOKUP(B123, 'Kosten Docenten'!A:B, 2, FALSE), "")*J123</f>
        <v>48.33333333</v>
      </c>
      <c r="I123" s="10">
        <f>IFERROR(VLOOKUP(C123, 'Kosten Locatie'!A:B, 2, FALSE), "")*J123</f>
        <v>22.62130178</v>
      </c>
      <c r="J123" s="11">
        <v>1.0</v>
      </c>
      <c r="K123" s="12">
        <v>7.65</v>
      </c>
      <c r="L123" s="13"/>
      <c r="M123" s="14" t="s">
        <v>24</v>
      </c>
      <c r="N123" s="15">
        <v>0.84375</v>
      </c>
    </row>
    <row r="124" ht="15.75" customHeight="1">
      <c r="A124" s="6" t="s">
        <v>188</v>
      </c>
      <c r="B124" s="6" t="s">
        <v>107</v>
      </c>
      <c r="C124" s="6" t="s">
        <v>23</v>
      </c>
      <c r="D124" s="6">
        <v>16.0</v>
      </c>
      <c r="E124" s="7">
        <f t="shared" si="1"/>
        <v>104.9095385</v>
      </c>
      <c r="F124" s="8">
        <v>139.29</v>
      </c>
      <c r="G124" s="9">
        <v>0.0</v>
      </c>
      <c r="H124" s="10">
        <f>IFERROR(VLOOKUP(B124, 'Kosten Docenten'!A:B, 2, FALSE), "")*J124</f>
        <v>20</v>
      </c>
      <c r="I124" s="10">
        <f>IFERROR(VLOOKUP(C124, 'Kosten Locatie'!A:B, 2, FALSE), "")*J124</f>
        <v>14.38046154</v>
      </c>
      <c r="J124" s="11">
        <v>1.0</v>
      </c>
      <c r="K124" s="12">
        <v>8.71</v>
      </c>
      <c r="L124" s="13"/>
      <c r="M124" s="14" t="s">
        <v>20</v>
      </c>
      <c r="N124" s="15">
        <v>0.625</v>
      </c>
    </row>
    <row r="125" ht="15.75" customHeight="1">
      <c r="A125" s="6" t="s">
        <v>189</v>
      </c>
      <c r="B125" s="6" t="s">
        <v>102</v>
      </c>
      <c r="C125" s="6" t="s">
        <v>16</v>
      </c>
      <c r="D125" s="6">
        <v>20.0</v>
      </c>
      <c r="E125" s="7">
        <f t="shared" si="1"/>
        <v>105.628835</v>
      </c>
      <c r="F125" s="8">
        <v>96.78</v>
      </c>
      <c r="G125" s="9">
        <v>28.06</v>
      </c>
      <c r="H125" s="10">
        <f>IFERROR(VLOOKUP(B125, 'Kosten Docenten'!A:B, 2, FALSE), "")*J125</f>
        <v>0</v>
      </c>
      <c r="I125" s="10">
        <f>IFERROR(VLOOKUP(C125, 'Kosten Locatie'!A:B, 2, FALSE), "")*J125</f>
        <v>19.21116505</v>
      </c>
      <c r="J125" s="11">
        <v>1.25</v>
      </c>
      <c r="K125" s="12">
        <v>4.84</v>
      </c>
      <c r="L125" s="13"/>
      <c r="M125" s="14" t="s">
        <v>35</v>
      </c>
      <c r="N125" s="15">
        <v>0.7291666666666666</v>
      </c>
    </row>
    <row r="126" ht="15.75" customHeight="1">
      <c r="A126" s="6" t="s">
        <v>190</v>
      </c>
      <c r="B126" s="6" t="s">
        <v>30</v>
      </c>
      <c r="C126" s="6" t="s">
        <v>16</v>
      </c>
      <c r="D126" s="6">
        <v>17.0</v>
      </c>
      <c r="E126" s="7">
        <f t="shared" si="1"/>
        <v>107.864249</v>
      </c>
      <c r="F126" s="8">
        <v>146.71</v>
      </c>
      <c r="G126" s="9">
        <v>70.09</v>
      </c>
      <c r="H126" s="10">
        <f>IFERROR(VLOOKUP(B126, 'Kosten Docenten'!A:B, 2, FALSE), "")*J126</f>
        <v>85.88235294</v>
      </c>
      <c r="I126" s="10">
        <f>IFERROR(VLOOKUP(C126, 'Kosten Locatie'!A:B, 2, FALSE), "")*J126</f>
        <v>23.05339806</v>
      </c>
      <c r="J126" s="11">
        <v>1.5</v>
      </c>
      <c r="K126" s="12">
        <v>8.63</v>
      </c>
      <c r="L126" s="13"/>
      <c r="M126" s="14" t="s">
        <v>20</v>
      </c>
      <c r="N126" s="15">
        <v>0.7083333333333334</v>
      </c>
    </row>
    <row r="127" ht="15.75" customHeight="1">
      <c r="A127" s="6" t="s">
        <v>191</v>
      </c>
      <c r="B127" s="6" t="s">
        <v>64</v>
      </c>
      <c r="C127" s="6" t="s">
        <v>65</v>
      </c>
      <c r="D127" s="6">
        <v>16.0</v>
      </c>
      <c r="E127" s="7">
        <f t="shared" si="1"/>
        <v>109.29</v>
      </c>
      <c r="F127" s="8">
        <v>138.34</v>
      </c>
      <c r="G127" s="9">
        <v>0.0</v>
      </c>
      <c r="H127" s="10">
        <f>IFERROR(VLOOKUP(B127, 'Kosten Docenten'!A:B, 2, FALSE), "")*J127</f>
        <v>10</v>
      </c>
      <c r="I127" s="10">
        <f>IFERROR(VLOOKUP(C127, 'Kosten Locatie'!A:B, 2, FALSE), "")*J127</f>
        <v>19.05</v>
      </c>
      <c r="J127" s="11">
        <v>1.0</v>
      </c>
      <c r="K127" s="12">
        <v>8.65</v>
      </c>
      <c r="L127" s="13"/>
      <c r="M127" s="14" t="s">
        <v>35</v>
      </c>
      <c r="N127" s="15">
        <v>0.6666666666666666</v>
      </c>
    </row>
    <row r="128" ht="15.75" customHeight="1">
      <c r="A128" s="6" t="s">
        <v>192</v>
      </c>
      <c r="B128" s="6" t="s">
        <v>193</v>
      </c>
      <c r="C128" s="6" t="s">
        <v>16</v>
      </c>
      <c r="D128" s="6">
        <v>28.0</v>
      </c>
      <c r="E128" s="7">
        <f t="shared" si="1"/>
        <v>109.491068</v>
      </c>
      <c r="F128" s="8">
        <v>154.86</v>
      </c>
      <c r="G128" s="9">
        <v>0.0</v>
      </c>
      <c r="H128" s="10">
        <f>IFERROR(VLOOKUP(B128, 'Kosten Docenten'!A:B, 2, FALSE), "")*J128</f>
        <v>30</v>
      </c>
      <c r="I128" s="10">
        <f>IFERROR(VLOOKUP(C128, 'Kosten Locatie'!A:B, 2, FALSE), "")*J128</f>
        <v>15.36893204</v>
      </c>
      <c r="J128" s="11">
        <v>1.0</v>
      </c>
      <c r="K128" s="12">
        <v>5.53</v>
      </c>
      <c r="L128" s="13"/>
      <c r="M128" s="14" t="s">
        <v>52</v>
      </c>
      <c r="N128" s="15">
        <v>0.5</v>
      </c>
    </row>
    <row r="129" ht="15.75" customHeight="1">
      <c r="A129" s="6" t="s">
        <v>194</v>
      </c>
      <c r="B129" s="6" t="s">
        <v>68</v>
      </c>
      <c r="C129" s="6" t="s">
        <v>16</v>
      </c>
      <c r="D129" s="6">
        <v>22.0</v>
      </c>
      <c r="E129" s="7">
        <f t="shared" si="1"/>
        <v>112.221068</v>
      </c>
      <c r="F129" s="8">
        <v>157.59</v>
      </c>
      <c r="G129" s="9">
        <v>0.0</v>
      </c>
      <c r="H129" s="10">
        <f>IFERROR(VLOOKUP(B129, 'Kosten Docenten'!A:B, 2, FALSE), "")*J129</f>
        <v>30</v>
      </c>
      <c r="I129" s="10">
        <f>IFERROR(VLOOKUP(C129, 'Kosten Locatie'!A:B, 2, FALSE), "")*J129</f>
        <v>15.36893204</v>
      </c>
      <c r="J129" s="11">
        <v>1.0</v>
      </c>
      <c r="K129" s="12">
        <v>7.16</v>
      </c>
      <c r="L129" s="13"/>
      <c r="M129" s="14" t="s">
        <v>17</v>
      </c>
      <c r="N129" s="15">
        <v>0.8333333333333334</v>
      </c>
    </row>
    <row r="130" ht="15.75" customHeight="1">
      <c r="A130" s="6" t="s">
        <v>195</v>
      </c>
      <c r="B130" s="6" t="s">
        <v>71</v>
      </c>
      <c r="C130" s="6" t="s">
        <v>16</v>
      </c>
      <c r="D130" s="6">
        <v>21.0</v>
      </c>
      <c r="E130" s="7">
        <f t="shared" si="1"/>
        <v>113.186068</v>
      </c>
      <c r="F130" s="8">
        <v>167.27</v>
      </c>
      <c r="G130" s="9">
        <v>0.0</v>
      </c>
      <c r="H130" s="10">
        <f>IFERROR(VLOOKUP(B130, 'Kosten Docenten'!A:B, 2, FALSE), "")*J130</f>
        <v>38.715</v>
      </c>
      <c r="I130" s="10">
        <f>IFERROR(VLOOKUP(C130, 'Kosten Locatie'!A:B, 2, FALSE), "")*J130</f>
        <v>15.36893204</v>
      </c>
      <c r="J130" s="11">
        <v>1.0</v>
      </c>
      <c r="K130" s="12">
        <v>7.97</v>
      </c>
      <c r="L130" s="13"/>
      <c r="M130" s="14" t="s">
        <v>24</v>
      </c>
      <c r="N130" s="15">
        <v>0.7083333333333334</v>
      </c>
    </row>
    <row r="131" ht="15.75" customHeight="1">
      <c r="A131" s="6" t="s">
        <v>196</v>
      </c>
      <c r="B131" s="6" t="s">
        <v>62</v>
      </c>
      <c r="C131" s="6" t="s">
        <v>16</v>
      </c>
      <c r="D131" s="6">
        <v>18.0</v>
      </c>
      <c r="E131" s="7">
        <f t="shared" si="1"/>
        <v>117.411068</v>
      </c>
      <c r="F131" s="8">
        <v>159.03</v>
      </c>
      <c r="G131" s="9">
        <v>0.0</v>
      </c>
      <c r="H131" s="10">
        <f>IFERROR(VLOOKUP(B131, 'Kosten Docenten'!A:B, 2, FALSE), "")*J131</f>
        <v>26.25</v>
      </c>
      <c r="I131" s="10">
        <f>IFERROR(VLOOKUP(C131, 'Kosten Locatie'!A:B, 2, FALSE), "")*J131</f>
        <v>15.36893204</v>
      </c>
      <c r="J131" s="11">
        <v>1.0</v>
      </c>
      <c r="K131" s="12">
        <v>8.84</v>
      </c>
      <c r="L131" s="13"/>
      <c r="M131" s="14" t="s">
        <v>35</v>
      </c>
      <c r="N131" s="15">
        <v>0.6666666666666666</v>
      </c>
    </row>
    <row r="132" ht="15.75" customHeight="1">
      <c r="A132" s="6" t="s">
        <v>197</v>
      </c>
      <c r="B132" s="6" t="s">
        <v>40</v>
      </c>
      <c r="C132" s="6" t="s">
        <v>16</v>
      </c>
      <c r="D132" s="6">
        <v>27.0</v>
      </c>
      <c r="E132" s="7">
        <f t="shared" si="1"/>
        <v>117.641068</v>
      </c>
      <c r="F132" s="8">
        <v>188.01</v>
      </c>
      <c r="G132" s="9">
        <v>0.0</v>
      </c>
      <c r="H132" s="10">
        <f>IFERROR(VLOOKUP(B132, 'Kosten Docenten'!A:B, 2, FALSE), "")*J132</f>
        <v>55</v>
      </c>
      <c r="I132" s="10">
        <f>IFERROR(VLOOKUP(C132, 'Kosten Locatie'!A:B, 2, FALSE), "")*J132</f>
        <v>15.36893204</v>
      </c>
      <c r="J132" s="11">
        <v>1.0</v>
      </c>
      <c r="K132" s="12">
        <v>6.96</v>
      </c>
      <c r="L132" s="13"/>
      <c r="M132" s="14" t="s">
        <v>31</v>
      </c>
      <c r="N132" s="15">
        <v>0.8125</v>
      </c>
    </row>
    <row r="133" ht="15.75" customHeight="1">
      <c r="A133" s="6" t="s">
        <v>198</v>
      </c>
      <c r="B133" s="6" t="s">
        <v>30</v>
      </c>
      <c r="C133" s="6" t="s">
        <v>16</v>
      </c>
      <c r="D133" s="6">
        <v>43.0</v>
      </c>
      <c r="E133" s="7">
        <f t="shared" si="1"/>
        <v>118.146166</v>
      </c>
      <c r="F133" s="8">
        <v>190.77</v>
      </c>
      <c r="G133" s="9">
        <v>0.0</v>
      </c>
      <c r="H133" s="10">
        <f>IFERROR(VLOOKUP(B133, 'Kosten Docenten'!A:B, 2, FALSE), "")*J133</f>
        <v>57.25490196</v>
      </c>
      <c r="I133" s="10">
        <f>IFERROR(VLOOKUP(C133, 'Kosten Locatie'!A:B, 2, FALSE), "")*J133</f>
        <v>15.36893204</v>
      </c>
      <c r="J133" s="11">
        <v>1.0</v>
      </c>
      <c r="K133" s="12">
        <v>4.44</v>
      </c>
      <c r="L133" s="13"/>
      <c r="M133" s="14" t="s">
        <v>20</v>
      </c>
      <c r="N133" s="15">
        <v>0.8125</v>
      </c>
    </row>
    <row r="134" ht="15.75" customHeight="1">
      <c r="A134" s="6" t="s">
        <v>199</v>
      </c>
      <c r="B134" s="6" t="s">
        <v>80</v>
      </c>
      <c r="C134" s="6" t="s">
        <v>16</v>
      </c>
      <c r="D134" s="6">
        <v>19.0</v>
      </c>
      <c r="E134" s="7">
        <f t="shared" si="1"/>
        <v>121.651068</v>
      </c>
      <c r="F134" s="8">
        <v>157.02</v>
      </c>
      <c r="G134" s="9">
        <v>0.0</v>
      </c>
      <c r="H134" s="10">
        <f>IFERROR(VLOOKUP(B134, 'Kosten Docenten'!A:B, 2, FALSE), "")*J134</f>
        <v>20</v>
      </c>
      <c r="I134" s="10">
        <f>IFERROR(VLOOKUP(C134, 'Kosten Locatie'!A:B, 2, FALSE), "")*J134</f>
        <v>15.36893204</v>
      </c>
      <c r="J134" s="11">
        <v>1.0</v>
      </c>
      <c r="K134" s="12">
        <v>8.26</v>
      </c>
      <c r="L134" s="13"/>
      <c r="M134" s="14" t="s">
        <v>52</v>
      </c>
      <c r="N134" s="15">
        <v>0.4166666666666667</v>
      </c>
    </row>
    <row r="135" ht="15.75" customHeight="1">
      <c r="A135" s="6" t="s">
        <v>200</v>
      </c>
      <c r="B135" s="6" t="s">
        <v>102</v>
      </c>
      <c r="C135" s="6" t="s">
        <v>16</v>
      </c>
      <c r="D135" s="6">
        <v>33.0</v>
      </c>
      <c r="E135" s="7">
        <f t="shared" si="1"/>
        <v>121.961068</v>
      </c>
      <c r="F135" s="8">
        <v>137.33</v>
      </c>
      <c r="G135" s="9">
        <v>0.0</v>
      </c>
      <c r="H135" s="10">
        <f>IFERROR(VLOOKUP(B135, 'Kosten Docenten'!A:B, 2, FALSE), "")*J135</f>
        <v>0</v>
      </c>
      <c r="I135" s="10">
        <f>IFERROR(VLOOKUP(C135, 'Kosten Locatie'!A:B, 2, FALSE), "")*J135</f>
        <v>15.36893204</v>
      </c>
      <c r="J135" s="11">
        <v>1.0</v>
      </c>
      <c r="K135" s="12">
        <v>4.16</v>
      </c>
      <c r="L135" s="13"/>
      <c r="M135" s="14" t="s">
        <v>24</v>
      </c>
      <c r="N135" s="15">
        <v>0.7083333333333334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6" t="s">
        <v>201</v>
      </c>
      <c r="B136" s="6" t="s">
        <v>94</v>
      </c>
      <c r="C136" s="6" t="s">
        <v>23</v>
      </c>
      <c r="D136" s="6">
        <v>22.0</v>
      </c>
      <c r="E136" s="7">
        <f t="shared" si="1"/>
        <v>123.2095385</v>
      </c>
      <c r="F136" s="8">
        <v>157.59</v>
      </c>
      <c r="G136" s="9">
        <v>0.0</v>
      </c>
      <c r="H136" s="10">
        <f>IFERROR(VLOOKUP(B136, 'Kosten Docenten'!A:B, 2, FALSE), "")*J136</f>
        <v>20</v>
      </c>
      <c r="I136" s="10">
        <f>IFERROR(VLOOKUP(C136, 'Kosten Locatie'!A:B, 2, FALSE), "")*J136</f>
        <v>14.38046154</v>
      </c>
      <c r="J136" s="11">
        <v>1.0</v>
      </c>
      <c r="K136" s="12">
        <v>7.16</v>
      </c>
      <c r="L136" s="13"/>
      <c r="M136" s="14" t="s">
        <v>17</v>
      </c>
      <c r="N136" s="15">
        <v>0.7708333333333334</v>
      </c>
    </row>
    <row r="137" ht="15.75" customHeight="1">
      <c r="A137" s="6" t="s">
        <v>202</v>
      </c>
      <c r="B137" s="6" t="s">
        <v>104</v>
      </c>
      <c r="C137" s="6" t="s">
        <v>23</v>
      </c>
      <c r="D137" s="6">
        <v>22.0</v>
      </c>
      <c r="E137" s="7">
        <f t="shared" si="1"/>
        <v>126.0295385</v>
      </c>
      <c r="F137" s="8">
        <v>190.41</v>
      </c>
      <c r="G137" s="9">
        <v>0.0</v>
      </c>
      <c r="H137" s="10">
        <f>IFERROR(VLOOKUP(B137, 'Kosten Docenten'!A:B, 2, FALSE), "")*J137</f>
        <v>50</v>
      </c>
      <c r="I137" s="10">
        <f>IFERROR(VLOOKUP(C137, 'Kosten Locatie'!A:B, 2, FALSE), "")*J137</f>
        <v>14.38046154</v>
      </c>
      <c r="J137" s="11">
        <v>1.0</v>
      </c>
      <c r="K137" s="12">
        <v>8.66</v>
      </c>
      <c r="L137" s="13"/>
      <c r="M137" s="14" t="s">
        <v>20</v>
      </c>
      <c r="N137" s="15">
        <v>0.8333333333333334</v>
      </c>
    </row>
    <row r="138" ht="15.75" customHeight="1">
      <c r="A138" s="6" t="s">
        <v>203</v>
      </c>
      <c r="B138" s="6" t="s">
        <v>80</v>
      </c>
      <c r="C138" s="6" t="s">
        <v>16</v>
      </c>
      <c r="D138" s="6">
        <v>19.0</v>
      </c>
      <c r="E138" s="7">
        <f t="shared" si="1"/>
        <v>130.771068</v>
      </c>
      <c r="F138" s="8">
        <v>166.14</v>
      </c>
      <c r="G138" s="9">
        <v>0.0</v>
      </c>
      <c r="H138" s="10">
        <f>IFERROR(VLOOKUP(B138, 'Kosten Docenten'!A:B, 2, FALSE), "")*J138</f>
        <v>20</v>
      </c>
      <c r="I138" s="10">
        <f>IFERROR(VLOOKUP(C138, 'Kosten Locatie'!A:B, 2, FALSE), "")*J138</f>
        <v>15.36893204</v>
      </c>
      <c r="J138" s="11">
        <v>1.0</v>
      </c>
      <c r="K138" s="12">
        <v>8.74</v>
      </c>
      <c r="L138" s="13"/>
      <c r="M138" s="14" t="s">
        <v>52</v>
      </c>
      <c r="N138" s="15">
        <v>0.4583333333333333</v>
      </c>
    </row>
    <row r="139" ht="15.75" customHeight="1">
      <c r="A139" s="6" t="s">
        <v>204</v>
      </c>
      <c r="B139" s="6" t="s">
        <v>90</v>
      </c>
      <c r="C139" s="6" t="s">
        <v>23</v>
      </c>
      <c r="D139" s="6">
        <v>19.0</v>
      </c>
      <c r="E139" s="7">
        <f t="shared" si="1"/>
        <v>132.6895385</v>
      </c>
      <c r="F139" s="8">
        <v>167.07</v>
      </c>
      <c r="G139" s="9">
        <v>0.0</v>
      </c>
      <c r="H139" s="10">
        <f>IFERROR(VLOOKUP(B139, 'Kosten Docenten'!A:B, 2, FALSE), "")*J139</f>
        <v>20</v>
      </c>
      <c r="I139" s="10">
        <f>IFERROR(VLOOKUP(C139, 'Kosten Locatie'!A:B, 2, FALSE), "")*J139</f>
        <v>14.38046154</v>
      </c>
      <c r="J139" s="11">
        <v>1.0</v>
      </c>
      <c r="K139" s="12">
        <v>8.79</v>
      </c>
      <c r="L139" s="13"/>
      <c r="M139" s="14" t="s">
        <v>24</v>
      </c>
      <c r="N139" s="15">
        <v>0.6875</v>
      </c>
    </row>
    <row r="140" ht="15.75" customHeight="1">
      <c r="A140" s="6" t="s">
        <v>205</v>
      </c>
      <c r="B140" s="6" t="s">
        <v>77</v>
      </c>
      <c r="C140" s="6" t="s">
        <v>16</v>
      </c>
      <c r="D140" s="6">
        <v>15.0</v>
      </c>
      <c r="E140" s="7">
        <f t="shared" si="1"/>
        <v>136.0566019</v>
      </c>
      <c r="F140" s="8">
        <v>145.28</v>
      </c>
      <c r="G140" s="9">
        <v>51.33</v>
      </c>
      <c r="H140" s="10">
        <f>IFERROR(VLOOKUP(B140, 'Kosten Docenten'!A:B, 2, FALSE), "")*J140</f>
        <v>37.5</v>
      </c>
      <c r="I140" s="10">
        <f>IFERROR(VLOOKUP(C140, 'Kosten Locatie'!A:B, 2, FALSE), "")*J140</f>
        <v>23.05339806</v>
      </c>
      <c r="J140" s="11">
        <v>1.5</v>
      </c>
      <c r="K140" s="12">
        <v>9.69</v>
      </c>
      <c r="L140" s="13"/>
      <c r="M140" s="14" t="s">
        <v>17</v>
      </c>
      <c r="N140" s="15">
        <v>0.7916666666666666</v>
      </c>
    </row>
    <row r="141" ht="15.75" customHeight="1">
      <c r="A141" s="6" t="s">
        <v>206</v>
      </c>
      <c r="B141" s="6" t="s">
        <v>15</v>
      </c>
      <c r="C141" s="6" t="s">
        <v>16</v>
      </c>
      <c r="D141" s="6">
        <v>26.0</v>
      </c>
      <c r="E141" s="7">
        <f t="shared" si="1"/>
        <v>136.861068</v>
      </c>
      <c r="F141" s="8">
        <v>187.23</v>
      </c>
      <c r="G141" s="9">
        <v>0.0</v>
      </c>
      <c r="H141" s="10">
        <f>IFERROR(VLOOKUP(B141, 'Kosten Docenten'!A:B, 2, FALSE), "")*J141</f>
        <v>35</v>
      </c>
      <c r="I141" s="10">
        <f>IFERROR(VLOOKUP(C141, 'Kosten Locatie'!A:B, 2, FALSE), "")*J141</f>
        <v>15.36893204</v>
      </c>
      <c r="J141" s="11">
        <v>1.0</v>
      </c>
      <c r="K141" s="12">
        <v>7.2</v>
      </c>
      <c r="L141" s="13"/>
      <c r="M141" s="14" t="s">
        <v>20</v>
      </c>
      <c r="N141" s="15">
        <v>0.8541666666666666</v>
      </c>
    </row>
    <row r="142" ht="15.75" customHeight="1">
      <c r="A142" s="6" t="s">
        <v>207</v>
      </c>
      <c r="B142" s="6" t="s">
        <v>57</v>
      </c>
      <c r="C142" s="6" t="s">
        <v>16</v>
      </c>
      <c r="D142" s="6">
        <v>22.0</v>
      </c>
      <c r="E142" s="7">
        <f t="shared" si="1"/>
        <v>137.261068</v>
      </c>
      <c r="F142" s="8">
        <v>177.63</v>
      </c>
      <c r="G142" s="9">
        <v>0.0</v>
      </c>
      <c r="H142" s="10">
        <f>IFERROR(VLOOKUP(B142, 'Kosten Docenten'!A:B, 2, FALSE), "")*J142</f>
        <v>25</v>
      </c>
      <c r="I142" s="10">
        <f>IFERROR(VLOOKUP(C142, 'Kosten Locatie'!A:B, 2, FALSE), "")*J142</f>
        <v>15.36893204</v>
      </c>
      <c r="J142" s="11">
        <v>1.0</v>
      </c>
      <c r="K142" s="12">
        <v>8.07</v>
      </c>
      <c r="L142" s="13"/>
      <c r="M142" s="14" t="s">
        <v>52</v>
      </c>
      <c r="N142" s="15">
        <v>0.4583333333333333</v>
      </c>
    </row>
    <row r="143" ht="15.75" customHeight="1">
      <c r="A143" s="6" t="s">
        <v>208</v>
      </c>
      <c r="B143" s="6" t="s">
        <v>68</v>
      </c>
      <c r="C143" s="6" t="s">
        <v>16</v>
      </c>
      <c r="D143" s="6">
        <v>39.0</v>
      </c>
      <c r="E143" s="7">
        <f t="shared" si="1"/>
        <v>142.561068</v>
      </c>
      <c r="F143" s="8">
        <v>187.93</v>
      </c>
      <c r="G143" s="9">
        <v>0.0</v>
      </c>
      <c r="H143" s="10">
        <f>IFERROR(VLOOKUP(B143, 'Kosten Docenten'!A:B, 2, FALSE), "")*J143</f>
        <v>30</v>
      </c>
      <c r="I143" s="10">
        <f>IFERROR(VLOOKUP(C143, 'Kosten Locatie'!A:B, 2, FALSE), "")*J143</f>
        <v>15.36893204</v>
      </c>
      <c r="J143" s="11">
        <v>1.0</v>
      </c>
      <c r="K143" s="12">
        <v>4.82</v>
      </c>
      <c r="L143" s="13"/>
      <c r="M143" s="14" t="s">
        <v>24</v>
      </c>
      <c r="N143" s="15">
        <v>0.7916666666666666</v>
      </c>
    </row>
    <row r="144" ht="15.75" customHeight="1">
      <c r="A144" s="6" t="s">
        <v>209</v>
      </c>
      <c r="B144" s="6" t="s">
        <v>54</v>
      </c>
      <c r="C144" s="6" t="s">
        <v>23</v>
      </c>
      <c r="D144" s="6">
        <v>29.0</v>
      </c>
      <c r="E144" s="7">
        <f t="shared" si="1"/>
        <v>143.0973162</v>
      </c>
      <c r="F144" s="8">
        <v>203.7</v>
      </c>
      <c r="G144" s="9">
        <v>0.0</v>
      </c>
      <c r="H144" s="10">
        <f>IFERROR(VLOOKUP(B144, 'Kosten Docenten'!A:B, 2, FALSE), "")*J144</f>
        <v>46.22222222</v>
      </c>
      <c r="I144" s="10">
        <f>IFERROR(VLOOKUP(C144, 'Kosten Locatie'!A:B, 2, FALSE), "")*J144</f>
        <v>14.38046154</v>
      </c>
      <c r="J144" s="11">
        <v>1.0</v>
      </c>
      <c r="K144" s="12">
        <v>7.02</v>
      </c>
      <c r="L144" s="13"/>
      <c r="M144" s="14" t="s">
        <v>31</v>
      </c>
      <c r="N144" s="15">
        <v>0.7708333333333334</v>
      </c>
    </row>
    <row r="145" ht="15.75" customHeight="1">
      <c r="A145" s="6" t="s">
        <v>210</v>
      </c>
      <c r="B145" s="6" t="s">
        <v>109</v>
      </c>
      <c r="C145" s="6" t="s">
        <v>41</v>
      </c>
      <c r="D145" s="6">
        <v>28.0</v>
      </c>
      <c r="E145" s="7">
        <f t="shared" si="1"/>
        <v>143.3453649</v>
      </c>
      <c r="F145" s="8">
        <v>214.3</v>
      </c>
      <c r="G145" s="9">
        <v>0.0</v>
      </c>
      <c r="H145" s="10">
        <f>IFERROR(VLOOKUP(B145, 'Kosten Docenten'!A:B, 2, FALSE), "")*J145</f>
        <v>48.33333333</v>
      </c>
      <c r="I145" s="10">
        <f>IFERROR(VLOOKUP(C145, 'Kosten Locatie'!A:B, 2, FALSE), "")*J145</f>
        <v>22.62130178</v>
      </c>
      <c r="J145" s="11">
        <v>1.0</v>
      </c>
      <c r="K145" s="12">
        <v>7.65</v>
      </c>
      <c r="L145" s="13"/>
      <c r="M145" s="14" t="s">
        <v>24</v>
      </c>
      <c r="N145" s="15">
        <v>0.7604166666666666</v>
      </c>
    </row>
    <row r="146" ht="15.75" customHeight="1">
      <c r="A146" s="6" t="s">
        <v>211</v>
      </c>
      <c r="B146" s="6" t="s">
        <v>212</v>
      </c>
      <c r="C146" s="6" t="s">
        <v>41</v>
      </c>
      <c r="D146" s="6">
        <v>23.0</v>
      </c>
      <c r="E146" s="7">
        <f t="shared" si="1"/>
        <v>146.2586982</v>
      </c>
      <c r="F146" s="8">
        <v>188.88</v>
      </c>
      <c r="G146" s="9">
        <v>0.0</v>
      </c>
      <c r="H146" s="10">
        <f>IFERROR(VLOOKUP(B146, 'Kosten Docenten'!A:B, 2, FALSE), "")*J146</f>
        <v>20</v>
      </c>
      <c r="I146" s="10">
        <f>IFERROR(VLOOKUP(C146, 'Kosten Locatie'!A:B, 2, FALSE), "")*J146</f>
        <v>22.62130178</v>
      </c>
      <c r="J146" s="11">
        <v>1.0</v>
      </c>
      <c r="K146" s="12">
        <v>8.21</v>
      </c>
      <c r="L146" s="13"/>
      <c r="M146" s="14" t="s">
        <v>17</v>
      </c>
      <c r="N146" s="15">
        <v>0.6458333333333334</v>
      </c>
    </row>
    <row r="147" ht="15.75" customHeight="1">
      <c r="A147" s="6" t="s">
        <v>213</v>
      </c>
      <c r="B147" s="6" t="s">
        <v>183</v>
      </c>
      <c r="C147" s="6" t="s">
        <v>41</v>
      </c>
      <c r="D147" s="6">
        <v>22.0</v>
      </c>
      <c r="E147" s="7">
        <f t="shared" si="1"/>
        <v>147.4386982</v>
      </c>
      <c r="F147" s="8">
        <v>187.56</v>
      </c>
      <c r="G147" s="9">
        <v>0.0</v>
      </c>
      <c r="H147" s="10">
        <f>IFERROR(VLOOKUP(B147, 'Kosten Docenten'!A:B, 2, FALSE), "")*J147</f>
        <v>17.5</v>
      </c>
      <c r="I147" s="10">
        <f>IFERROR(VLOOKUP(C147, 'Kosten Locatie'!A:B, 2, FALSE), "")*J147</f>
        <v>22.62130178</v>
      </c>
      <c r="J147" s="11">
        <v>1.0</v>
      </c>
      <c r="K147" s="12">
        <v>8.53</v>
      </c>
      <c r="L147" s="13"/>
      <c r="M147" s="14" t="s">
        <v>31</v>
      </c>
      <c r="N147" s="15">
        <v>0.6458333333333334</v>
      </c>
    </row>
    <row r="148" ht="15.75" customHeight="1">
      <c r="A148" s="6" t="s">
        <v>214</v>
      </c>
      <c r="B148" s="6" t="s">
        <v>30</v>
      </c>
      <c r="C148" s="6" t="s">
        <v>16</v>
      </c>
      <c r="D148" s="6">
        <v>40.0</v>
      </c>
      <c r="E148" s="7">
        <f t="shared" si="1"/>
        <v>149.126166</v>
      </c>
      <c r="F148" s="8">
        <v>221.75</v>
      </c>
      <c r="G148" s="9">
        <v>0.0</v>
      </c>
      <c r="H148" s="10">
        <f>IFERROR(VLOOKUP(B148, 'Kosten Docenten'!A:B, 2, FALSE), "")*J148</f>
        <v>57.25490196</v>
      </c>
      <c r="I148" s="10">
        <f>IFERROR(VLOOKUP(C148, 'Kosten Locatie'!A:B, 2, FALSE), "")*J148</f>
        <v>15.36893204</v>
      </c>
      <c r="J148" s="11">
        <v>1.0</v>
      </c>
      <c r="K148" s="12">
        <v>5.54</v>
      </c>
      <c r="L148" s="13"/>
      <c r="M148" s="14" t="s">
        <v>20</v>
      </c>
      <c r="N148" s="15">
        <v>0.6666666666666666</v>
      </c>
    </row>
    <row r="149" ht="15.75" customHeight="1">
      <c r="A149" s="6" t="s">
        <v>215</v>
      </c>
      <c r="B149" s="6" t="s">
        <v>30</v>
      </c>
      <c r="C149" s="6" t="s">
        <v>16</v>
      </c>
      <c r="D149" s="6">
        <v>39.0</v>
      </c>
      <c r="E149" s="7">
        <f t="shared" si="1"/>
        <v>158.266166</v>
      </c>
      <c r="F149" s="8">
        <v>230.89</v>
      </c>
      <c r="G149" s="9">
        <v>0.0</v>
      </c>
      <c r="H149" s="10">
        <f>IFERROR(VLOOKUP(B149, 'Kosten Docenten'!A:B, 2, FALSE), "")*J149</f>
        <v>57.25490196</v>
      </c>
      <c r="I149" s="10">
        <f>IFERROR(VLOOKUP(C149, 'Kosten Locatie'!A:B, 2, FALSE), "")*J149</f>
        <v>15.36893204</v>
      </c>
      <c r="J149" s="11">
        <v>1.0</v>
      </c>
      <c r="K149" s="12">
        <v>5.92</v>
      </c>
      <c r="L149" s="13"/>
      <c r="M149" s="14" t="s">
        <v>20</v>
      </c>
      <c r="N149" s="15">
        <v>0.7708333333333334</v>
      </c>
    </row>
    <row r="150" ht="15.75" customHeight="1">
      <c r="A150" s="6" t="s">
        <v>216</v>
      </c>
      <c r="B150" s="6" t="s">
        <v>30</v>
      </c>
      <c r="C150" s="6" t="s">
        <v>16</v>
      </c>
      <c r="D150" s="6">
        <v>37.0</v>
      </c>
      <c r="E150" s="7">
        <f t="shared" si="1"/>
        <v>168.076166</v>
      </c>
      <c r="F150" s="8">
        <v>240.7</v>
      </c>
      <c r="G150" s="9">
        <v>0.0</v>
      </c>
      <c r="H150" s="10">
        <f>IFERROR(VLOOKUP(B150, 'Kosten Docenten'!A:B, 2, FALSE), "")*J150</f>
        <v>57.25490196</v>
      </c>
      <c r="I150" s="10">
        <f>IFERROR(VLOOKUP(C150, 'Kosten Locatie'!A:B, 2, FALSE), "")*J150</f>
        <v>15.36893204</v>
      </c>
      <c r="J150" s="11">
        <v>1.0</v>
      </c>
      <c r="K150" s="12">
        <v>6.51</v>
      </c>
      <c r="L150" s="13"/>
      <c r="M150" s="14" t="s">
        <v>20</v>
      </c>
      <c r="N150" s="15">
        <v>0.625</v>
      </c>
    </row>
    <row r="151" ht="15.75" customHeight="1">
      <c r="A151" s="6" t="s">
        <v>217</v>
      </c>
      <c r="B151" s="6" t="s">
        <v>54</v>
      </c>
      <c r="C151" s="6" t="s">
        <v>16</v>
      </c>
      <c r="D151" s="6">
        <v>39.0</v>
      </c>
      <c r="E151" s="7">
        <f t="shared" si="1"/>
        <v>168.9488457</v>
      </c>
      <c r="F151" s="8">
        <v>230.54</v>
      </c>
      <c r="G151" s="9">
        <v>0.0</v>
      </c>
      <c r="H151" s="10">
        <f>IFERROR(VLOOKUP(B151, 'Kosten Docenten'!A:B, 2, FALSE), "")*J151</f>
        <v>46.22222222</v>
      </c>
      <c r="I151" s="10">
        <f>IFERROR(VLOOKUP(C151, 'Kosten Locatie'!A:B, 2, FALSE), "")*J151</f>
        <v>15.36893204</v>
      </c>
      <c r="J151" s="11">
        <v>1.0</v>
      </c>
      <c r="K151" s="12">
        <v>5.91</v>
      </c>
      <c r="L151" s="13"/>
      <c r="M151" s="14" t="s">
        <v>17</v>
      </c>
      <c r="N151" s="15">
        <v>0.75</v>
      </c>
    </row>
    <row r="152" ht="15.75" customHeight="1">
      <c r="A152" s="6" t="s">
        <v>218</v>
      </c>
      <c r="B152" s="6" t="s">
        <v>64</v>
      </c>
      <c r="C152" s="6" t="s">
        <v>65</v>
      </c>
      <c r="D152" s="6">
        <v>25.0</v>
      </c>
      <c r="E152" s="7">
        <f t="shared" si="1"/>
        <v>172.73</v>
      </c>
      <c r="F152" s="8">
        <v>201.78</v>
      </c>
      <c r="G152" s="9">
        <v>0.0</v>
      </c>
      <c r="H152" s="10">
        <f>IFERROR(VLOOKUP(B152, 'Kosten Docenten'!A:B, 2, FALSE), "")*J152</f>
        <v>10</v>
      </c>
      <c r="I152" s="10">
        <f>IFERROR(VLOOKUP(C152, 'Kosten Locatie'!A:B, 2, FALSE), "")*J152</f>
        <v>19.05</v>
      </c>
      <c r="J152" s="11">
        <v>1.0</v>
      </c>
      <c r="K152" s="12">
        <v>8.07</v>
      </c>
      <c r="L152" s="13"/>
      <c r="M152" s="14" t="s">
        <v>35</v>
      </c>
      <c r="N152" s="15">
        <v>0.7083333333333334</v>
      </c>
    </row>
    <row r="153" ht="15.75" customHeight="1">
      <c r="A153" s="6" t="s">
        <v>219</v>
      </c>
      <c r="B153" s="6" t="s">
        <v>212</v>
      </c>
      <c r="C153" s="6" t="s">
        <v>41</v>
      </c>
      <c r="D153" s="6">
        <v>25.0</v>
      </c>
      <c r="E153" s="7">
        <f t="shared" si="1"/>
        <v>173.9686982</v>
      </c>
      <c r="F153" s="8">
        <v>216.59</v>
      </c>
      <c r="G153" s="9">
        <v>0.0</v>
      </c>
      <c r="H153" s="10">
        <f>IFERROR(VLOOKUP(B153, 'Kosten Docenten'!A:B, 2, FALSE), "")*J153</f>
        <v>20</v>
      </c>
      <c r="I153" s="10">
        <f>IFERROR(VLOOKUP(C153, 'Kosten Locatie'!A:B, 2, FALSE), "")*J153</f>
        <v>22.62130178</v>
      </c>
      <c r="J153" s="11">
        <v>1.0</v>
      </c>
      <c r="K153" s="12">
        <v>8.66</v>
      </c>
      <c r="L153" s="13"/>
      <c r="M153" s="14" t="s">
        <v>17</v>
      </c>
      <c r="N153" s="15">
        <v>0.6875</v>
      </c>
    </row>
    <row r="154" ht="15.75" customHeight="1">
      <c r="A154" s="6" t="s">
        <v>220</v>
      </c>
      <c r="B154" s="6" t="s">
        <v>71</v>
      </c>
      <c r="C154" s="6" t="s">
        <v>16</v>
      </c>
      <c r="D154" s="6">
        <v>35.0</v>
      </c>
      <c r="E154" s="7">
        <f t="shared" si="1"/>
        <v>180.666068</v>
      </c>
      <c r="F154" s="8">
        <v>234.75</v>
      </c>
      <c r="G154" s="9">
        <v>0.0</v>
      </c>
      <c r="H154" s="10">
        <f>IFERROR(VLOOKUP(B154, 'Kosten Docenten'!A:B, 2, FALSE), "")*J154</f>
        <v>38.715</v>
      </c>
      <c r="I154" s="10">
        <f>IFERROR(VLOOKUP(C154, 'Kosten Locatie'!A:B, 2, FALSE), "")*J154</f>
        <v>15.36893204</v>
      </c>
      <c r="J154" s="11">
        <v>1.0</v>
      </c>
      <c r="K154" s="12">
        <v>6.71</v>
      </c>
      <c r="L154" s="13"/>
      <c r="M154" s="14" t="s">
        <v>24</v>
      </c>
      <c r="N154" s="15">
        <v>0.75</v>
      </c>
    </row>
    <row r="155" ht="15.75" customHeight="1">
      <c r="A155" s="6" t="s">
        <v>221</v>
      </c>
      <c r="B155" s="6" t="s">
        <v>157</v>
      </c>
      <c r="C155" s="6" t="s">
        <v>16</v>
      </c>
      <c r="D155" s="6">
        <v>26.0</v>
      </c>
      <c r="E155" s="7">
        <f t="shared" si="1"/>
        <v>184.411068</v>
      </c>
      <c r="F155" s="8">
        <v>222.28</v>
      </c>
      <c r="G155" s="9">
        <v>0.0</v>
      </c>
      <c r="H155" s="10">
        <f>IFERROR(VLOOKUP(B155, 'Kosten Docenten'!A:B, 2, FALSE), "")*J155</f>
        <v>22.5</v>
      </c>
      <c r="I155" s="10">
        <f>IFERROR(VLOOKUP(C155, 'Kosten Locatie'!A:B, 2, FALSE), "")*J155</f>
        <v>15.36893204</v>
      </c>
      <c r="J155" s="11">
        <v>1.0</v>
      </c>
      <c r="K155" s="12">
        <v>8.55</v>
      </c>
      <c r="L155" s="13"/>
      <c r="M155" s="14" t="s">
        <v>52</v>
      </c>
      <c r="N155" s="15">
        <v>0.4166666666666667</v>
      </c>
    </row>
    <row r="156" ht="15.75" customHeight="1">
      <c r="A156" s="6" t="s">
        <v>222</v>
      </c>
      <c r="B156" s="6" t="s">
        <v>157</v>
      </c>
      <c r="C156" s="6" t="s">
        <v>16</v>
      </c>
      <c r="D156" s="6">
        <v>29.0</v>
      </c>
      <c r="E156" s="7">
        <f t="shared" si="1"/>
        <v>198.341068</v>
      </c>
      <c r="F156" s="8">
        <v>236.21</v>
      </c>
      <c r="G156" s="9">
        <v>0.0</v>
      </c>
      <c r="H156" s="10">
        <f>IFERROR(VLOOKUP(B156, 'Kosten Docenten'!A:B, 2, FALSE), "")*J156</f>
        <v>22.5</v>
      </c>
      <c r="I156" s="10">
        <f>IFERROR(VLOOKUP(C156, 'Kosten Locatie'!A:B, 2, FALSE), "")*J156</f>
        <v>15.36893204</v>
      </c>
      <c r="J156" s="11">
        <v>1.0</v>
      </c>
      <c r="K156" s="12">
        <v>8.15</v>
      </c>
      <c r="L156" s="13"/>
      <c r="M156" s="14" t="s">
        <v>52</v>
      </c>
      <c r="N156" s="15">
        <v>0.4583333333333333</v>
      </c>
    </row>
    <row r="157" ht="15.75" customHeight="1">
      <c r="A157" s="6" t="s">
        <v>223</v>
      </c>
      <c r="B157" s="6" t="s">
        <v>64</v>
      </c>
      <c r="C157" s="6" t="s">
        <v>174</v>
      </c>
      <c r="D157" s="6">
        <v>26.0</v>
      </c>
      <c r="E157" s="7">
        <f t="shared" si="1"/>
        <v>200.17</v>
      </c>
      <c r="F157" s="8">
        <v>229.22</v>
      </c>
      <c r="G157" s="9">
        <v>0.0</v>
      </c>
      <c r="H157" s="10">
        <f>IFERROR(VLOOKUP(B157, 'Kosten Docenten'!A:B, 2, FALSE), "")*J157</f>
        <v>10</v>
      </c>
      <c r="I157" s="10">
        <f>IFERROR(VLOOKUP(C157, 'Kosten Locatie'!A:B, 2, FALSE), "")*J157</f>
        <v>19.05</v>
      </c>
      <c r="J157" s="11">
        <v>1.0</v>
      </c>
      <c r="K157" s="12">
        <v>8.82</v>
      </c>
      <c r="L157" s="13"/>
      <c r="M157" s="14" t="s">
        <v>24</v>
      </c>
      <c r="N157" s="15">
        <v>0.7083333333333334</v>
      </c>
    </row>
    <row r="158" ht="15.75" customHeight="1">
      <c r="A158" s="6" t="s">
        <v>224</v>
      </c>
      <c r="B158" s="6" t="s">
        <v>193</v>
      </c>
      <c r="C158" s="6" t="s">
        <v>16</v>
      </c>
      <c r="D158" s="6">
        <v>38.0</v>
      </c>
      <c r="E158" s="7">
        <f t="shared" si="1"/>
        <v>216.671068</v>
      </c>
      <c r="F158" s="8">
        <v>262.04</v>
      </c>
      <c r="G158" s="9">
        <v>0.0</v>
      </c>
      <c r="H158" s="10">
        <f>IFERROR(VLOOKUP(B158, 'Kosten Docenten'!A:B, 2, FALSE), "")*J158</f>
        <v>30</v>
      </c>
      <c r="I158" s="10">
        <f>IFERROR(VLOOKUP(C158, 'Kosten Locatie'!A:B, 2, FALSE), "")*J158</f>
        <v>15.36893204</v>
      </c>
      <c r="J158" s="11">
        <v>1.0</v>
      </c>
      <c r="K158" s="12">
        <v>6.9</v>
      </c>
      <c r="L158" s="13"/>
      <c r="M158" s="14" t="s">
        <v>52</v>
      </c>
      <c r="N158" s="15">
        <v>0.5416666666666666</v>
      </c>
    </row>
    <row r="159" ht="15.75" customHeight="1">
      <c r="A159" s="6" t="s">
        <v>225</v>
      </c>
      <c r="B159" s="6" t="s">
        <v>90</v>
      </c>
      <c r="C159" s="6" t="s">
        <v>16</v>
      </c>
      <c r="D159" s="6">
        <v>35.0</v>
      </c>
      <c r="E159" s="7">
        <f t="shared" si="1"/>
        <v>230.211068</v>
      </c>
      <c r="F159" s="8">
        <v>265.58</v>
      </c>
      <c r="G159" s="9">
        <v>0.0</v>
      </c>
      <c r="H159" s="10">
        <f>IFERROR(VLOOKUP(B159, 'Kosten Docenten'!A:B, 2, FALSE), "")*J159</f>
        <v>20</v>
      </c>
      <c r="I159" s="10">
        <f>IFERROR(VLOOKUP(C159, 'Kosten Locatie'!A:B, 2, FALSE), "")*J159</f>
        <v>15.36893204</v>
      </c>
      <c r="J159" s="11">
        <v>1.0</v>
      </c>
      <c r="K159" s="12">
        <v>7.59</v>
      </c>
      <c r="L159" s="13"/>
      <c r="M159" s="14" t="s">
        <v>24</v>
      </c>
      <c r="N159" s="15">
        <v>0.7916666666666666</v>
      </c>
    </row>
    <row r="160" ht="15.75" customHeight="1">
      <c r="E160" s="22"/>
      <c r="F160" s="23"/>
      <c r="G160" s="23"/>
      <c r="H160" s="23"/>
      <c r="I160" s="23"/>
      <c r="J160" s="24"/>
      <c r="K160" s="23"/>
    </row>
    <row r="161" ht="15.75" customHeight="1">
      <c r="E161" s="22"/>
      <c r="F161" s="23"/>
      <c r="G161" s="23"/>
      <c r="H161" s="23"/>
      <c r="I161" s="23"/>
      <c r="J161" s="24"/>
      <c r="K161" s="23"/>
    </row>
    <row r="162" ht="15.75" customHeight="1">
      <c r="E162" s="22"/>
      <c r="F162" s="23"/>
      <c r="G162" s="23"/>
      <c r="H162" s="23"/>
      <c r="I162" s="23"/>
      <c r="J162" s="24"/>
      <c r="K162" s="23"/>
    </row>
    <row r="163" ht="15.75" customHeight="1">
      <c r="E163" s="22"/>
      <c r="F163" s="23"/>
      <c r="G163" s="23"/>
      <c r="H163" s="23"/>
      <c r="I163" s="23"/>
      <c r="J163" s="24"/>
      <c r="K163" s="23"/>
    </row>
    <row r="164" ht="15.75" customHeight="1">
      <c r="E164" s="22"/>
      <c r="F164" s="23"/>
      <c r="G164" s="23"/>
      <c r="H164" s="23"/>
      <c r="I164" s="23"/>
      <c r="J164" s="24"/>
      <c r="K164" s="23"/>
    </row>
    <row r="165" ht="15.75" customHeight="1">
      <c r="E165" s="22"/>
      <c r="F165" s="23"/>
      <c r="G165" s="23"/>
      <c r="H165" s="23"/>
      <c r="I165" s="23"/>
      <c r="J165" s="24"/>
      <c r="K165" s="23"/>
    </row>
    <row r="166" ht="15.75" customHeight="1">
      <c r="E166" s="22"/>
      <c r="F166" s="23"/>
      <c r="G166" s="23"/>
      <c r="H166" s="23"/>
      <c r="I166" s="23"/>
      <c r="J166" s="24"/>
      <c r="K166" s="23"/>
    </row>
    <row r="167" ht="15.75" customHeight="1">
      <c r="E167" s="22"/>
      <c r="F167" s="23"/>
      <c r="G167" s="23"/>
      <c r="H167" s="23"/>
      <c r="I167" s="23"/>
      <c r="J167" s="24"/>
      <c r="K167" s="23"/>
    </row>
    <row r="168" ht="15.75" customHeight="1">
      <c r="E168" s="22"/>
      <c r="F168" s="23"/>
      <c r="G168" s="23"/>
      <c r="H168" s="23"/>
      <c r="I168" s="23"/>
      <c r="J168" s="24"/>
      <c r="K168" s="23"/>
    </row>
    <row r="169" ht="15.75" customHeight="1">
      <c r="E169" s="22"/>
      <c r="F169" s="23"/>
      <c r="G169" s="23"/>
      <c r="H169" s="23"/>
      <c r="I169" s="23"/>
      <c r="J169" s="24"/>
      <c r="K169" s="23"/>
    </row>
    <row r="170" ht="15.75" customHeight="1">
      <c r="E170" s="22"/>
      <c r="F170" s="23"/>
      <c r="G170" s="23"/>
      <c r="H170" s="23"/>
      <c r="I170" s="23"/>
      <c r="J170" s="24"/>
      <c r="K170" s="23"/>
    </row>
    <row r="171" ht="15.75" customHeight="1">
      <c r="E171" s="22"/>
      <c r="F171" s="23"/>
      <c r="G171" s="23"/>
      <c r="H171" s="23"/>
      <c r="I171" s="23"/>
      <c r="J171" s="24"/>
      <c r="K171" s="23"/>
    </row>
    <row r="172" ht="15.75" customHeight="1">
      <c r="E172" s="22"/>
      <c r="F172" s="23"/>
      <c r="G172" s="23"/>
      <c r="H172" s="23"/>
      <c r="I172" s="23"/>
      <c r="J172" s="24"/>
      <c r="K172" s="23"/>
    </row>
    <row r="173" ht="15.75" customHeight="1">
      <c r="E173" s="22"/>
      <c r="F173" s="23"/>
      <c r="G173" s="23"/>
      <c r="H173" s="23"/>
      <c r="I173" s="23"/>
      <c r="J173" s="24"/>
      <c r="K173" s="23"/>
    </row>
    <row r="174" ht="15.75" customHeight="1">
      <c r="E174" s="22"/>
      <c r="F174" s="23"/>
      <c r="G174" s="23"/>
      <c r="H174" s="23"/>
      <c r="I174" s="23"/>
      <c r="J174" s="24"/>
      <c r="K174" s="23"/>
    </row>
    <row r="175" ht="15.75" customHeight="1">
      <c r="E175" s="22"/>
      <c r="F175" s="23"/>
      <c r="G175" s="23"/>
      <c r="H175" s="23"/>
      <c r="I175" s="23"/>
      <c r="J175" s="24"/>
      <c r="K175" s="23"/>
    </row>
    <row r="176" ht="15.75" customHeight="1">
      <c r="E176" s="22"/>
      <c r="F176" s="23"/>
      <c r="G176" s="23"/>
      <c r="H176" s="23"/>
      <c r="I176" s="23"/>
      <c r="J176" s="24"/>
      <c r="K176" s="23"/>
    </row>
    <row r="177" ht="15.75" customHeight="1">
      <c r="E177" s="22"/>
      <c r="F177" s="23"/>
      <c r="G177" s="23"/>
      <c r="H177" s="23"/>
      <c r="I177" s="23"/>
      <c r="J177" s="24"/>
      <c r="K177" s="23"/>
    </row>
    <row r="178" ht="15.75" customHeight="1">
      <c r="E178" s="22"/>
      <c r="F178" s="23"/>
      <c r="G178" s="23"/>
      <c r="H178" s="23"/>
      <c r="I178" s="23"/>
      <c r="J178" s="24"/>
      <c r="K178" s="23"/>
    </row>
    <row r="179" ht="15.75" customHeight="1">
      <c r="E179" s="22"/>
      <c r="F179" s="23"/>
      <c r="G179" s="23"/>
      <c r="H179" s="23"/>
      <c r="I179" s="23"/>
      <c r="J179" s="24"/>
      <c r="K179" s="23"/>
    </row>
    <row r="180" ht="15.75" customHeight="1">
      <c r="E180" s="22"/>
      <c r="F180" s="23"/>
      <c r="G180" s="23"/>
      <c r="H180" s="23"/>
      <c r="I180" s="23"/>
      <c r="J180" s="24"/>
      <c r="K180" s="23"/>
    </row>
    <row r="181" ht="15.75" customHeight="1">
      <c r="E181" s="22"/>
      <c r="F181" s="23"/>
      <c r="G181" s="23"/>
      <c r="H181" s="23"/>
      <c r="I181" s="23"/>
      <c r="J181" s="24"/>
      <c r="K181" s="23"/>
    </row>
    <row r="182" ht="15.75" customHeight="1">
      <c r="E182" s="22"/>
      <c r="F182" s="23"/>
      <c r="G182" s="23"/>
      <c r="H182" s="23"/>
      <c r="I182" s="23"/>
      <c r="J182" s="24"/>
      <c r="K182" s="23"/>
    </row>
    <row r="183" ht="15.75" customHeight="1">
      <c r="E183" s="22"/>
      <c r="F183" s="23"/>
      <c r="G183" s="23"/>
      <c r="H183" s="23"/>
      <c r="I183" s="23"/>
      <c r="J183" s="24"/>
      <c r="K183" s="23"/>
    </row>
    <row r="184" ht="15.75" customHeight="1">
      <c r="E184" s="22"/>
      <c r="F184" s="23"/>
      <c r="G184" s="23"/>
      <c r="H184" s="23"/>
      <c r="I184" s="23"/>
      <c r="J184" s="24"/>
      <c r="K184" s="23"/>
    </row>
    <row r="185" ht="15.75" customHeight="1">
      <c r="E185" s="22"/>
      <c r="F185" s="23"/>
      <c r="G185" s="23"/>
      <c r="H185" s="23"/>
      <c r="I185" s="23"/>
      <c r="J185" s="24"/>
      <c r="K185" s="23"/>
    </row>
    <row r="186" ht="15.75" customHeight="1">
      <c r="E186" s="22"/>
      <c r="F186" s="23"/>
      <c r="G186" s="23"/>
      <c r="H186" s="23"/>
      <c r="I186" s="23"/>
      <c r="J186" s="24"/>
      <c r="K186" s="23"/>
    </row>
    <row r="187" ht="15.75" customHeight="1">
      <c r="E187" s="22"/>
      <c r="F187" s="23"/>
      <c r="G187" s="23"/>
      <c r="H187" s="23"/>
      <c r="I187" s="23"/>
      <c r="J187" s="24"/>
      <c r="K187" s="23"/>
    </row>
    <row r="188" ht="15.75" customHeight="1">
      <c r="E188" s="22"/>
      <c r="F188" s="23"/>
      <c r="G188" s="23"/>
      <c r="H188" s="23"/>
      <c r="I188" s="23"/>
      <c r="J188" s="24"/>
      <c r="K188" s="23"/>
    </row>
    <row r="189" ht="15.75" customHeight="1">
      <c r="E189" s="22"/>
      <c r="F189" s="23"/>
      <c r="G189" s="23"/>
      <c r="H189" s="23"/>
      <c r="I189" s="23"/>
      <c r="J189" s="24"/>
      <c r="K189" s="23"/>
    </row>
    <row r="190" ht="15.75" customHeight="1">
      <c r="E190" s="22"/>
      <c r="F190" s="23"/>
      <c r="G190" s="23"/>
      <c r="H190" s="23"/>
      <c r="I190" s="23"/>
      <c r="J190" s="24"/>
      <c r="K190" s="23"/>
    </row>
    <row r="191" ht="15.75" customHeight="1">
      <c r="E191" s="22"/>
      <c r="F191" s="23"/>
      <c r="G191" s="23"/>
      <c r="H191" s="23"/>
      <c r="I191" s="23"/>
      <c r="J191" s="24"/>
      <c r="K191" s="23"/>
    </row>
    <row r="192" ht="15.75" customHeight="1">
      <c r="E192" s="22"/>
      <c r="F192" s="23"/>
      <c r="G192" s="23"/>
      <c r="H192" s="23"/>
      <c r="I192" s="23"/>
      <c r="J192" s="24"/>
      <c r="K192" s="23"/>
    </row>
    <row r="193" ht="15.75" customHeight="1">
      <c r="E193" s="22"/>
      <c r="F193" s="23"/>
      <c r="G193" s="23"/>
      <c r="H193" s="23"/>
      <c r="I193" s="23"/>
      <c r="J193" s="24"/>
      <c r="K193" s="23"/>
    </row>
    <row r="194" ht="15.75" customHeight="1">
      <c r="E194" s="22"/>
      <c r="F194" s="23"/>
      <c r="G194" s="23"/>
      <c r="H194" s="23"/>
      <c r="I194" s="23"/>
      <c r="J194" s="24"/>
      <c r="K194" s="23"/>
    </row>
    <row r="195" ht="15.75" customHeight="1">
      <c r="E195" s="22"/>
      <c r="F195" s="23"/>
      <c r="G195" s="23"/>
      <c r="H195" s="23"/>
      <c r="I195" s="23"/>
      <c r="J195" s="24"/>
      <c r="K195" s="23"/>
    </row>
    <row r="196" ht="15.75" customHeight="1">
      <c r="E196" s="22"/>
      <c r="F196" s="23"/>
      <c r="G196" s="23"/>
      <c r="H196" s="23"/>
      <c r="I196" s="23"/>
      <c r="J196" s="24"/>
      <c r="K196" s="23"/>
    </row>
    <row r="197" ht="15.75" customHeight="1">
      <c r="E197" s="22"/>
      <c r="F197" s="23"/>
      <c r="G197" s="23"/>
      <c r="H197" s="23"/>
      <c r="I197" s="23"/>
      <c r="J197" s="24"/>
      <c r="K197" s="23"/>
    </row>
    <row r="198" ht="15.75" customHeight="1">
      <c r="E198" s="22"/>
      <c r="F198" s="23"/>
      <c r="G198" s="23"/>
      <c r="H198" s="23"/>
      <c r="I198" s="23"/>
      <c r="J198" s="24"/>
      <c r="K198" s="23"/>
    </row>
    <row r="199" ht="15.75" customHeight="1">
      <c r="E199" s="22"/>
      <c r="F199" s="23"/>
      <c r="G199" s="23"/>
      <c r="H199" s="23"/>
      <c r="I199" s="23"/>
      <c r="J199" s="24"/>
      <c r="K199" s="23"/>
    </row>
    <row r="200" ht="15.75" customHeight="1">
      <c r="E200" s="22"/>
      <c r="F200" s="23"/>
      <c r="G200" s="23"/>
      <c r="H200" s="23"/>
      <c r="I200" s="23"/>
      <c r="J200" s="24"/>
      <c r="K200" s="23"/>
    </row>
    <row r="201" ht="15.75" customHeight="1">
      <c r="E201" s="22"/>
      <c r="F201" s="23"/>
      <c r="G201" s="23"/>
      <c r="H201" s="23"/>
      <c r="I201" s="23"/>
      <c r="J201" s="24"/>
      <c r="K201" s="23"/>
    </row>
    <row r="202" ht="15.75" customHeight="1">
      <c r="E202" s="22"/>
      <c r="F202" s="23"/>
      <c r="G202" s="23"/>
      <c r="H202" s="23"/>
      <c r="I202" s="23"/>
      <c r="J202" s="24"/>
      <c r="K202" s="23"/>
    </row>
    <row r="203" ht="15.75" customHeight="1">
      <c r="E203" s="22"/>
      <c r="F203" s="23"/>
      <c r="G203" s="23"/>
      <c r="H203" s="23"/>
      <c r="I203" s="23"/>
      <c r="J203" s="24"/>
      <c r="K203" s="23"/>
    </row>
    <row r="204" ht="15.75" customHeight="1">
      <c r="E204" s="22"/>
      <c r="F204" s="23"/>
      <c r="G204" s="23"/>
      <c r="H204" s="23"/>
      <c r="I204" s="23"/>
      <c r="J204" s="24"/>
      <c r="K204" s="23"/>
    </row>
    <row r="205" ht="15.75" customHeight="1">
      <c r="E205" s="22"/>
      <c r="F205" s="23"/>
      <c r="G205" s="23"/>
      <c r="H205" s="23"/>
      <c r="I205" s="23"/>
      <c r="J205" s="24"/>
      <c r="K205" s="23"/>
    </row>
    <row r="206" ht="15.75" customHeight="1">
      <c r="E206" s="22"/>
      <c r="F206" s="23"/>
      <c r="G206" s="23"/>
      <c r="H206" s="23"/>
      <c r="I206" s="23"/>
      <c r="J206" s="24"/>
      <c r="K206" s="23"/>
    </row>
    <row r="207" ht="15.75" customHeight="1">
      <c r="E207" s="22"/>
      <c r="F207" s="23"/>
      <c r="G207" s="23"/>
      <c r="H207" s="23"/>
      <c r="I207" s="23"/>
      <c r="J207" s="24"/>
      <c r="K207" s="23"/>
    </row>
    <row r="208" ht="15.75" customHeight="1">
      <c r="E208" s="22"/>
      <c r="F208" s="23"/>
      <c r="G208" s="23"/>
      <c r="H208" s="23"/>
      <c r="I208" s="23"/>
      <c r="J208" s="24"/>
      <c r="K208" s="23"/>
    </row>
    <row r="209" ht="15.75" customHeight="1">
      <c r="E209" s="22"/>
      <c r="F209" s="23"/>
      <c r="G209" s="23"/>
      <c r="H209" s="23"/>
      <c r="I209" s="23"/>
      <c r="J209" s="24"/>
      <c r="K209" s="23"/>
    </row>
    <row r="210" ht="15.75" customHeight="1">
      <c r="E210" s="22"/>
      <c r="F210" s="23"/>
      <c r="G210" s="23"/>
      <c r="H210" s="23"/>
      <c r="I210" s="23"/>
      <c r="J210" s="24"/>
      <c r="K210" s="23"/>
    </row>
    <row r="211" ht="15.75" customHeight="1">
      <c r="E211" s="22"/>
      <c r="F211" s="23"/>
      <c r="G211" s="23"/>
      <c r="H211" s="23"/>
      <c r="I211" s="23"/>
      <c r="J211" s="24"/>
      <c r="K211" s="23"/>
    </row>
    <row r="212" ht="15.75" customHeight="1">
      <c r="E212" s="22"/>
      <c r="F212" s="23"/>
      <c r="G212" s="23"/>
      <c r="H212" s="23"/>
      <c r="I212" s="23"/>
      <c r="J212" s="24"/>
      <c r="K212" s="23"/>
    </row>
    <row r="213" ht="15.75" customHeight="1">
      <c r="E213" s="22"/>
      <c r="F213" s="23"/>
      <c r="G213" s="23"/>
      <c r="H213" s="23"/>
      <c r="I213" s="23"/>
      <c r="J213" s="24"/>
      <c r="K213" s="23"/>
    </row>
    <row r="214" ht="15.75" customHeight="1">
      <c r="E214" s="22"/>
      <c r="F214" s="23"/>
      <c r="G214" s="23"/>
      <c r="H214" s="23"/>
      <c r="I214" s="23"/>
      <c r="J214" s="24"/>
      <c r="K214" s="23"/>
    </row>
    <row r="215" ht="15.75" customHeight="1">
      <c r="E215" s="22"/>
      <c r="F215" s="23"/>
      <c r="G215" s="23"/>
      <c r="H215" s="23"/>
      <c r="I215" s="23"/>
      <c r="J215" s="24"/>
      <c r="K215" s="23"/>
    </row>
    <row r="216" ht="15.75" customHeight="1">
      <c r="E216" s="22"/>
      <c r="F216" s="23"/>
      <c r="G216" s="23"/>
      <c r="H216" s="23"/>
      <c r="I216" s="23"/>
      <c r="J216" s="24"/>
      <c r="K216" s="23"/>
    </row>
    <row r="217" ht="15.75" customHeight="1">
      <c r="E217" s="22"/>
      <c r="F217" s="23"/>
      <c r="G217" s="23"/>
      <c r="H217" s="23"/>
      <c r="I217" s="23"/>
      <c r="J217" s="24"/>
      <c r="K217" s="23"/>
    </row>
    <row r="218" ht="15.75" customHeight="1">
      <c r="E218" s="22"/>
      <c r="F218" s="23"/>
      <c r="G218" s="23"/>
      <c r="H218" s="23"/>
      <c r="I218" s="23"/>
      <c r="J218" s="24"/>
      <c r="K218" s="23"/>
    </row>
    <row r="219" ht="15.75" customHeight="1">
      <c r="E219" s="22"/>
      <c r="F219" s="23"/>
      <c r="G219" s="23"/>
      <c r="H219" s="23"/>
      <c r="I219" s="23"/>
      <c r="J219" s="24"/>
      <c r="K219" s="23"/>
    </row>
    <row r="220" ht="15.75" customHeight="1">
      <c r="E220" s="22"/>
      <c r="F220" s="23"/>
      <c r="G220" s="23"/>
      <c r="H220" s="23"/>
      <c r="I220" s="23"/>
      <c r="J220" s="24"/>
      <c r="K220" s="23"/>
    </row>
    <row r="221" ht="15.75" customHeight="1">
      <c r="E221" s="22"/>
      <c r="F221" s="23"/>
      <c r="G221" s="23"/>
      <c r="H221" s="23"/>
      <c r="I221" s="23"/>
      <c r="J221" s="24"/>
      <c r="K221" s="23"/>
    </row>
    <row r="222" ht="15.75" customHeight="1">
      <c r="E222" s="22"/>
      <c r="F222" s="23"/>
      <c r="G222" s="23"/>
      <c r="H222" s="23"/>
      <c r="I222" s="23"/>
      <c r="J222" s="24"/>
      <c r="K222" s="23"/>
    </row>
    <row r="223" ht="15.75" customHeight="1">
      <c r="E223" s="22"/>
      <c r="F223" s="23"/>
      <c r="G223" s="23"/>
      <c r="H223" s="23"/>
      <c r="I223" s="23"/>
      <c r="J223" s="24"/>
      <c r="K223" s="23"/>
    </row>
    <row r="224" ht="15.75" customHeight="1">
      <c r="E224" s="22"/>
      <c r="F224" s="23"/>
      <c r="G224" s="23"/>
      <c r="H224" s="23"/>
      <c r="I224" s="23"/>
      <c r="J224" s="24"/>
      <c r="K224" s="23"/>
    </row>
    <row r="225" ht="15.75" customHeight="1">
      <c r="E225" s="22"/>
      <c r="F225" s="23"/>
      <c r="G225" s="23"/>
      <c r="H225" s="23"/>
      <c r="I225" s="23"/>
      <c r="J225" s="24"/>
      <c r="K225" s="23"/>
    </row>
    <row r="226" ht="15.75" customHeight="1">
      <c r="E226" s="22"/>
      <c r="F226" s="23"/>
      <c r="G226" s="23"/>
      <c r="H226" s="23"/>
      <c r="I226" s="23"/>
      <c r="J226" s="24"/>
      <c r="K226" s="23"/>
    </row>
    <row r="227" ht="15.75" customHeight="1">
      <c r="E227" s="22"/>
      <c r="F227" s="23"/>
      <c r="G227" s="23"/>
      <c r="H227" s="23"/>
      <c r="I227" s="23"/>
      <c r="J227" s="24"/>
      <c r="K227" s="23"/>
    </row>
    <row r="228" ht="15.75" customHeight="1">
      <c r="E228" s="22"/>
      <c r="F228" s="23"/>
      <c r="G228" s="23"/>
      <c r="H228" s="23"/>
      <c r="I228" s="23"/>
      <c r="J228" s="24"/>
      <c r="K228" s="23"/>
    </row>
    <row r="229" ht="15.75" customHeight="1">
      <c r="E229" s="22"/>
      <c r="F229" s="23"/>
      <c r="G229" s="23"/>
      <c r="H229" s="23"/>
      <c r="I229" s="23"/>
      <c r="J229" s="24"/>
      <c r="K229" s="23"/>
    </row>
    <row r="230" ht="15.75" customHeight="1">
      <c r="E230" s="22"/>
      <c r="F230" s="23"/>
      <c r="G230" s="23"/>
      <c r="H230" s="23"/>
      <c r="I230" s="23"/>
      <c r="J230" s="24"/>
      <c r="K230" s="23"/>
    </row>
    <row r="231" ht="15.75" customHeight="1">
      <c r="E231" s="22"/>
      <c r="F231" s="23"/>
      <c r="G231" s="23"/>
      <c r="H231" s="23"/>
      <c r="I231" s="23"/>
      <c r="J231" s="24"/>
      <c r="K231" s="23"/>
    </row>
    <row r="232" ht="15.75" customHeight="1">
      <c r="E232" s="22"/>
      <c r="F232" s="23"/>
      <c r="G232" s="23"/>
      <c r="H232" s="23"/>
      <c r="I232" s="23"/>
      <c r="J232" s="24"/>
      <c r="K232" s="23"/>
    </row>
    <row r="233" ht="15.75" customHeight="1">
      <c r="E233" s="22"/>
      <c r="F233" s="23"/>
      <c r="G233" s="23"/>
      <c r="H233" s="23"/>
      <c r="I233" s="23"/>
      <c r="J233" s="24"/>
      <c r="K233" s="23"/>
    </row>
    <row r="234" ht="15.75" customHeight="1">
      <c r="E234" s="22"/>
      <c r="F234" s="23"/>
      <c r="G234" s="23"/>
      <c r="H234" s="23"/>
      <c r="I234" s="23"/>
      <c r="J234" s="24"/>
      <c r="K234" s="23"/>
    </row>
    <row r="235" ht="15.75" customHeight="1">
      <c r="E235" s="22"/>
      <c r="F235" s="23"/>
      <c r="G235" s="23"/>
      <c r="H235" s="23"/>
      <c r="I235" s="23"/>
      <c r="J235" s="24"/>
      <c r="K235" s="23"/>
    </row>
    <row r="236" ht="15.75" customHeight="1">
      <c r="E236" s="22"/>
      <c r="F236" s="23"/>
      <c r="G236" s="23"/>
      <c r="H236" s="23"/>
      <c r="I236" s="23"/>
      <c r="J236" s="24"/>
      <c r="K236" s="23"/>
    </row>
    <row r="237" ht="15.75" customHeight="1">
      <c r="E237" s="22"/>
      <c r="F237" s="23"/>
      <c r="G237" s="23"/>
      <c r="H237" s="23"/>
      <c r="I237" s="23"/>
      <c r="J237" s="24"/>
      <c r="K237" s="23"/>
    </row>
    <row r="238" ht="15.75" customHeight="1">
      <c r="E238" s="22"/>
      <c r="F238" s="23"/>
      <c r="G238" s="23"/>
      <c r="H238" s="23"/>
      <c r="I238" s="23"/>
      <c r="J238" s="24"/>
      <c r="K238" s="23"/>
    </row>
    <row r="239" ht="15.75" customHeight="1">
      <c r="E239" s="22"/>
      <c r="F239" s="23"/>
      <c r="G239" s="23"/>
      <c r="H239" s="23"/>
      <c r="I239" s="23"/>
      <c r="J239" s="24"/>
      <c r="K239" s="23"/>
    </row>
    <row r="240" ht="15.75" customHeight="1">
      <c r="E240" s="22"/>
      <c r="F240" s="23"/>
      <c r="G240" s="23"/>
      <c r="H240" s="23"/>
      <c r="I240" s="23"/>
      <c r="J240" s="24"/>
      <c r="K240" s="23"/>
    </row>
    <row r="241" ht="15.75" customHeight="1">
      <c r="E241" s="22"/>
      <c r="F241" s="23"/>
      <c r="G241" s="23"/>
      <c r="H241" s="23"/>
      <c r="I241" s="23"/>
      <c r="J241" s="24"/>
      <c r="K241" s="23"/>
    </row>
    <row r="242" ht="15.75" customHeight="1">
      <c r="E242" s="22"/>
      <c r="F242" s="23"/>
      <c r="G242" s="23"/>
      <c r="H242" s="23"/>
      <c r="I242" s="23"/>
      <c r="J242" s="24"/>
      <c r="K242" s="23"/>
    </row>
    <row r="243" ht="15.75" customHeight="1">
      <c r="E243" s="22"/>
      <c r="F243" s="23"/>
      <c r="G243" s="23"/>
      <c r="H243" s="23"/>
      <c r="I243" s="23"/>
      <c r="J243" s="24"/>
      <c r="K243" s="23"/>
    </row>
    <row r="244" ht="15.75" customHeight="1">
      <c r="E244" s="22"/>
      <c r="F244" s="23"/>
      <c r="G244" s="23"/>
      <c r="H244" s="23"/>
      <c r="I244" s="23"/>
      <c r="J244" s="24"/>
      <c r="K244" s="23"/>
    </row>
    <row r="245" ht="15.75" customHeight="1">
      <c r="E245" s="22"/>
      <c r="F245" s="23"/>
      <c r="G245" s="23"/>
      <c r="H245" s="23"/>
      <c r="I245" s="23"/>
      <c r="J245" s="24"/>
      <c r="K245" s="23"/>
    </row>
    <row r="246" ht="15.75" customHeight="1">
      <c r="E246" s="22"/>
      <c r="F246" s="23"/>
      <c r="G246" s="23"/>
      <c r="H246" s="23"/>
      <c r="I246" s="23"/>
      <c r="J246" s="24"/>
      <c r="K246" s="23"/>
    </row>
    <row r="247" ht="15.75" customHeight="1">
      <c r="E247" s="22"/>
      <c r="F247" s="23"/>
      <c r="G247" s="23"/>
      <c r="H247" s="23"/>
      <c r="I247" s="23"/>
      <c r="J247" s="24"/>
      <c r="K247" s="23"/>
    </row>
    <row r="248" ht="15.75" customHeight="1">
      <c r="E248" s="22"/>
      <c r="F248" s="23"/>
      <c r="G248" s="23"/>
      <c r="H248" s="23"/>
      <c r="I248" s="23"/>
      <c r="J248" s="24"/>
      <c r="K248" s="23"/>
    </row>
    <row r="249" ht="15.75" customHeight="1">
      <c r="E249" s="22"/>
      <c r="F249" s="23"/>
      <c r="G249" s="23"/>
      <c r="H249" s="23"/>
      <c r="I249" s="23"/>
      <c r="J249" s="24"/>
      <c r="K249" s="23"/>
    </row>
    <row r="250" ht="15.75" customHeight="1">
      <c r="E250" s="22"/>
      <c r="F250" s="23"/>
      <c r="G250" s="23"/>
      <c r="H250" s="23"/>
      <c r="I250" s="23"/>
      <c r="J250" s="24"/>
      <c r="K250" s="23"/>
    </row>
    <row r="251" ht="15.75" customHeight="1">
      <c r="E251" s="22"/>
      <c r="F251" s="23"/>
      <c r="G251" s="23"/>
      <c r="H251" s="23"/>
      <c r="I251" s="23"/>
      <c r="J251" s="24"/>
      <c r="K251" s="23"/>
    </row>
    <row r="252" ht="15.75" customHeight="1">
      <c r="E252" s="22"/>
      <c r="F252" s="23"/>
      <c r="G252" s="23"/>
      <c r="H252" s="23"/>
      <c r="I252" s="23"/>
      <c r="J252" s="24"/>
      <c r="K252" s="23"/>
    </row>
    <row r="253" ht="15.75" customHeight="1">
      <c r="E253" s="22"/>
      <c r="F253" s="23"/>
      <c r="G253" s="23"/>
      <c r="H253" s="23"/>
      <c r="I253" s="23"/>
      <c r="J253" s="24"/>
      <c r="K253" s="23"/>
    </row>
    <row r="254" ht="15.75" customHeight="1">
      <c r="E254" s="22"/>
      <c r="F254" s="23"/>
      <c r="G254" s="23"/>
      <c r="H254" s="23"/>
      <c r="I254" s="23"/>
      <c r="J254" s="24"/>
      <c r="K254" s="23"/>
    </row>
    <row r="255" ht="15.75" customHeight="1">
      <c r="E255" s="22"/>
      <c r="F255" s="23"/>
      <c r="G255" s="23"/>
      <c r="H255" s="23"/>
      <c r="I255" s="23"/>
      <c r="J255" s="24"/>
      <c r="K255" s="23"/>
    </row>
    <row r="256" ht="15.75" customHeight="1">
      <c r="E256" s="22"/>
      <c r="F256" s="23"/>
      <c r="G256" s="23"/>
      <c r="H256" s="23"/>
      <c r="I256" s="23"/>
      <c r="J256" s="24"/>
      <c r="K256" s="23"/>
    </row>
    <row r="257" ht="15.75" customHeight="1">
      <c r="E257" s="22"/>
      <c r="F257" s="23"/>
      <c r="G257" s="23"/>
      <c r="H257" s="23"/>
      <c r="I257" s="23"/>
      <c r="J257" s="24"/>
      <c r="K257" s="23"/>
    </row>
    <row r="258" ht="15.75" customHeight="1">
      <c r="E258" s="22"/>
      <c r="F258" s="23"/>
      <c r="G258" s="23"/>
      <c r="H258" s="23"/>
      <c r="I258" s="23"/>
      <c r="J258" s="24"/>
      <c r="K258" s="23"/>
    </row>
    <row r="259" ht="15.75" customHeight="1">
      <c r="E259" s="22"/>
      <c r="F259" s="23"/>
      <c r="G259" s="23"/>
      <c r="H259" s="23"/>
      <c r="I259" s="23"/>
      <c r="J259" s="24"/>
      <c r="K259" s="23"/>
    </row>
    <row r="260" ht="15.75" customHeight="1">
      <c r="E260" s="22"/>
      <c r="F260" s="23"/>
      <c r="G260" s="23"/>
      <c r="H260" s="23"/>
      <c r="I260" s="23"/>
      <c r="J260" s="24"/>
      <c r="K260" s="23"/>
    </row>
    <row r="261" ht="15.75" customHeight="1">
      <c r="E261" s="22"/>
      <c r="F261" s="23"/>
      <c r="G261" s="23"/>
      <c r="H261" s="23"/>
      <c r="I261" s="23"/>
      <c r="J261" s="24"/>
      <c r="K261" s="23"/>
    </row>
    <row r="262" ht="15.75" customHeight="1">
      <c r="E262" s="22"/>
      <c r="F262" s="23"/>
      <c r="G262" s="23"/>
      <c r="H262" s="23"/>
      <c r="I262" s="23"/>
      <c r="J262" s="24"/>
      <c r="K262" s="23"/>
    </row>
    <row r="263" ht="15.75" customHeight="1">
      <c r="E263" s="22"/>
      <c r="F263" s="23"/>
      <c r="G263" s="23"/>
      <c r="H263" s="23"/>
      <c r="I263" s="23"/>
      <c r="J263" s="24"/>
      <c r="K263" s="23"/>
    </row>
    <row r="264" ht="15.75" customHeight="1">
      <c r="E264" s="22"/>
      <c r="F264" s="23"/>
      <c r="G264" s="23"/>
      <c r="H264" s="23"/>
      <c r="I264" s="23"/>
      <c r="J264" s="24"/>
      <c r="K264" s="23"/>
    </row>
    <row r="265" ht="15.75" customHeight="1">
      <c r="E265" s="22"/>
      <c r="F265" s="23"/>
      <c r="G265" s="23"/>
      <c r="H265" s="23"/>
      <c r="I265" s="23"/>
      <c r="J265" s="24"/>
      <c r="K265" s="23"/>
    </row>
    <row r="266" ht="15.75" customHeight="1">
      <c r="E266" s="22"/>
      <c r="F266" s="23"/>
      <c r="G266" s="23"/>
      <c r="H266" s="23"/>
      <c r="I266" s="23"/>
      <c r="J266" s="24"/>
      <c r="K266" s="23"/>
    </row>
    <row r="267" ht="15.75" customHeight="1">
      <c r="E267" s="22"/>
      <c r="F267" s="23"/>
      <c r="G267" s="23"/>
      <c r="H267" s="23"/>
      <c r="I267" s="23"/>
      <c r="J267" s="24"/>
      <c r="K267" s="23"/>
    </row>
    <row r="268" ht="15.75" customHeight="1">
      <c r="E268" s="22"/>
      <c r="F268" s="23"/>
      <c r="G268" s="23"/>
      <c r="H268" s="23"/>
      <c r="I268" s="23"/>
      <c r="J268" s="24"/>
      <c r="K268" s="23"/>
    </row>
    <row r="269" ht="15.75" customHeight="1">
      <c r="E269" s="22"/>
      <c r="F269" s="23"/>
      <c r="G269" s="23"/>
      <c r="H269" s="23"/>
      <c r="I269" s="23"/>
      <c r="J269" s="24"/>
      <c r="K269" s="23"/>
    </row>
    <row r="270" ht="15.75" customHeight="1">
      <c r="E270" s="22"/>
      <c r="F270" s="23"/>
      <c r="G270" s="23"/>
      <c r="H270" s="23"/>
      <c r="I270" s="23"/>
      <c r="J270" s="24"/>
      <c r="K270" s="23"/>
    </row>
    <row r="271" ht="15.75" customHeight="1">
      <c r="E271" s="22"/>
      <c r="F271" s="23"/>
      <c r="G271" s="23"/>
      <c r="H271" s="23"/>
      <c r="I271" s="23"/>
      <c r="J271" s="24"/>
      <c r="K271" s="23"/>
    </row>
    <row r="272" ht="15.75" customHeight="1">
      <c r="E272" s="22"/>
      <c r="F272" s="23"/>
      <c r="G272" s="23"/>
      <c r="H272" s="23"/>
      <c r="I272" s="23"/>
      <c r="J272" s="24"/>
      <c r="K272" s="23"/>
    </row>
    <row r="273" ht="15.75" customHeight="1">
      <c r="E273" s="22"/>
      <c r="F273" s="23"/>
      <c r="G273" s="23"/>
      <c r="H273" s="23"/>
      <c r="I273" s="23"/>
      <c r="J273" s="24"/>
      <c r="K273" s="23"/>
    </row>
    <row r="274" ht="15.75" customHeight="1">
      <c r="E274" s="22"/>
      <c r="F274" s="23"/>
      <c r="G274" s="23"/>
      <c r="H274" s="23"/>
      <c r="I274" s="23"/>
      <c r="J274" s="24"/>
      <c r="K274" s="23"/>
    </row>
    <row r="275" ht="15.75" customHeight="1">
      <c r="E275" s="22"/>
      <c r="F275" s="23"/>
      <c r="G275" s="23"/>
      <c r="H275" s="23"/>
      <c r="I275" s="23"/>
      <c r="J275" s="24"/>
      <c r="K275" s="23"/>
    </row>
    <row r="276" ht="15.75" customHeight="1">
      <c r="E276" s="22"/>
      <c r="F276" s="23"/>
      <c r="G276" s="23"/>
      <c r="H276" s="23"/>
      <c r="I276" s="23"/>
      <c r="J276" s="24"/>
      <c r="K276" s="23"/>
    </row>
    <row r="277" ht="15.75" customHeight="1">
      <c r="E277" s="22"/>
      <c r="F277" s="23"/>
      <c r="G277" s="23"/>
      <c r="H277" s="23"/>
      <c r="I277" s="23"/>
      <c r="J277" s="24"/>
      <c r="K277" s="23"/>
    </row>
    <row r="278" ht="15.75" customHeight="1">
      <c r="E278" s="22"/>
      <c r="F278" s="23"/>
      <c r="G278" s="23"/>
      <c r="H278" s="23"/>
      <c r="I278" s="23"/>
      <c r="J278" s="24"/>
      <c r="K278" s="23"/>
    </row>
    <row r="279" ht="15.75" customHeight="1">
      <c r="E279" s="22"/>
      <c r="F279" s="23"/>
      <c r="G279" s="23"/>
      <c r="H279" s="23"/>
      <c r="I279" s="23"/>
      <c r="J279" s="24"/>
      <c r="K279" s="23"/>
    </row>
    <row r="280" ht="15.75" customHeight="1">
      <c r="E280" s="22"/>
      <c r="F280" s="23"/>
      <c r="G280" s="23"/>
      <c r="H280" s="23"/>
      <c r="I280" s="23"/>
      <c r="J280" s="24"/>
      <c r="K280" s="23"/>
    </row>
    <row r="281" ht="15.75" customHeight="1">
      <c r="E281" s="22"/>
      <c r="F281" s="23"/>
      <c r="G281" s="23"/>
      <c r="H281" s="23"/>
      <c r="I281" s="23"/>
      <c r="J281" s="24"/>
      <c r="K281" s="23"/>
    </row>
    <row r="282" ht="15.75" customHeight="1">
      <c r="E282" s="22"/>
      <c r="F282" s="23"/>
      <c r="G282" s="23"/>
      <c r="H282" s="23"/>
      <c r="I282" s="23"/>
      <c r="J282" s="24"/>
      <c r="K282" s="23"/>
    </row>
    <row r="283" ht="15.75" customHeight="1">
      <c r="E283" s="22"/>
      <c r="F283" s="23"/>
      <c r="G283" s="23"/>
      <c r="H283" s="23"/>
      <c r="I283" s="23"/>
      <c r="J283" s="24"/>
      <c r="K283" s="23"/>
    </row>
    <row r="284" ht="15.75" customHeight="1">
      <c r="E284" s="22"/>
      <c r="F284" s="23"/>
      <c r="G284" s="23"/>
      <c r="H284" s="23"/>
      <c r="I284" s="23"/>
      <c r="J284" s="24"/>
      <c r="K284" s="23"/>
    </row>
    <row r="285" ht="15.75" customHeight="1">
      <c r="E285" s="22"/>
      <c r="F285" s="23"/>
      <c r="G285" s="23"/>
      <c r="H285" s="23"/>
      <c r="I285" s="23"/>
      <c r="J285" s="24"/>
      <c r="K285" s="23"/>
    </row>
    <row r="286" ht="15.75" customHeight="1">
      <c r="E286" s="22"/>
      <c r="F286" s="23"/>
      <c r="G286" s="23"/>
      <c r="H286" s="23"/>
      <c r="I286" s="23"/>
      <c r="J286" s="24"/>
      <c r="K286" s="23"/>
    </row>
    <row r="287" ht="15.75" customHeight="1">
      <c r="E287" s="22"/>
      <c r="F287" s="23"/>
      <c r="G287" s="23"/>
      <c r="H287" s="23"/>
      <c r="I287" s="23"/>
      <c r="J287" s="24"/>
      <c r="K287" s="23"/>
    </row>
    <row r="288" ht="15.75" customHeight="1">
      <c r="E288" s="22"/>
      <c r="F288" s="23"/>
      <c r="G288" s="23"/>
      <c r="H288" s="23"/>
      <c r="I288" s="23"/>
      <c r="J288" s="24"/>
      <c r="K288" s="23"/>
    </row>
    <row r="289" ht="15.75" customHeight="1">
      <c r="E289" s="22"/>
      <c r="F289" s="23"/>
      <c r="G289" s="23"/>
      <c r="H289" s="23"/>
      <c r="I289" s="23"/>
      <c r="J289" s="24"/>
      <c r="K289" s="23"/>
    </row>
    <row r="290" ht="15.75" customHeight="1">
      <c r="E290" s="22"/>
      <c r="F290" s="23"/>
      <c r="G290" s="23"/>
      <c r="H290" s="23"/>
      <c r="I290" s="23"/>
      <c r="J290" s="24"/>
      <c r="K290" s="23"/>
    </row>
    <row r="291" ht="15.75" customHeight="1">
      <c r="E291" s="22"/>
      <c r="F291" s="23"/>
      <c r="G291" s="23"/>
      <c r="H291" s="23"/>
      <c r="I291" s="23"/>
      <c r="J291" s="24"/>
      <c r="K291" s="23"/>
    </row>
    <row r="292" ht="15.75" customHeight="1">
      <c r="E292" s="22"/>
      <c r="F292" s="23"/>
      <c r="G292" s="23"/>
      <c r="H292" s="23"/>
      <c r="I292" s="23"/>
      <c r="J292" s="24"/>
      <c r="K292" s="23"/>
    </row>
    <row r="293" ht="15.75" customHeight="1">
      <c r="E293" s="22"/>
      <c r="F293" s="23"/>
      <c r="G293" s="23"/>
      <c r="H293" s="23"/>
      <c r="I293" s="23"/>
      <c r="J293" s="24"/>
      <c r="K293" s="23"/>
    </row>
    <row r="294" ht="15.75" customHeight="1">
      <c r="E294" s="22"/>
      <c r="F294" s="23"/>
      <c r="G294" s="23"/>
      <c r="H294" s="23"/>
      <c r="I294" s="23"/>
      <c r="J294" s="24"/>
      <c r="K294" s="23"/>
    </row>
    <row r="295" ht="15.75" customHeight="1">
      <c r="E295" s="22"/>
      <c r="F295" s="23"/>
      <c r="G295" s="23"/>
      <c r="H295" s="23"/>
      <c r="I295" s="23"/>
      <c r="J295" s="24"/>
      <c r="K295" s="23"/>
    </row>
    <row r="296" ht="15.75" customHeight="1">
      <c r="E296" s="22"/>
      <c r="F296" s="23"/>
      <c r="G296" s="23"/>
      <c r="H296" s="23"/>
      <c r="I296" s="23"/>
      <c r="J296" s="24"/>
      <c r="K296" s="23"/>
    </row>
    <row r="297" ht="15.75" customHeight="1">
      <c r="E297" s="22"/>
      <c r="F297" s="23"/>
      <c r="G297" s="23"/>
      <c r="H297" s="23"/>
      <c r="I297" s="23"/>
      <c r="J297" s="24"/>
      <c r="K297" s="23"/>
    </row>
    <row r="298" ht="15.75" customHeight="1">
      <c r="E298" s="22"/>
      <c r="F298" s="23"/>
      <c r="G298" s="23"/>
      <c r="H298" s="23"/>
      <c r="I298" s="23"/>
      <c r="J298" s="24"/>
      <c r="K298" s="23"/>
    </row>
    <row r="299" ht="15.75" customHeight="1">
      <c r="E299" s="22"/>
      <c r="F299" s="23"/>
      <c r="G299" s="23"/>
      <c r="H299" s="23"/>
      <c r="I299" s="23"/>
      <c r="J299" s="24"/>
      <c r="K299" s="23"/>
    </row>
    <row r="300" ht="15.75" customHeight="1">
      <c r="E300" s="22"/>
      <c r="F300" s="23"/>
      <c r="G300" s="23"/>
      <c r="H300" s="23"/>
      <c r="I300" s="23"/>
      <c r="J300" s="24"/>
      <c r="K300" s="23"/>
    </row>
    <row r="301" ht="15.75" customHeight="1">
      <c r="E301" s="22"/>
      <c r="F301" s="23"/>
      <c r="G301" s="23"/>
      <c r="H301" s="23"/>
      <c r="I301" s="23"/>
      <c r="J301" s="24"/>
      <c r="K301" s="23"/>
    </row>
    <row r="302" ht="15.75" customHeight="1">
      <c r="E302" s="22"/>
      <c r="F302" s="23"/>
      <c r="G302" s="23"/>
      <c r="H302" s="23"/>
      <c r="I302" s="23"/>
      <c r="J302" s="24"/>
      <c r="K302" s="23"/>
    </row>
    <row r="303" ht="15.75" customHeight="1">
      <c r="E303" s="22"/>
      <c r="F303" s="23"/>
      <c r="G303" s="23"/>
      <c r="H303" s="23"/>
      <c r="I303" s="23"/>
      <c r="J303" s="24"/>
      <c r="K303" s="23"/>
    </row>
    <row r="304" ht="15.75" customHeight="1">
      <c r="E304" s="22"/>
      <c r="F304" s="23"/>
      <c r="G304" s="23"/>
      <c r="H304" s="23"/>
      <c r="I304" s="23"/>
      <c r="J304" s="24"/>
      <c r="K304" s="23"/>
    </row>
    <row r="305" ht="15.75" customHeight="1">
      <c r="E305" s="22"/>
      <c r="F305" s="23"/>
      <c r="G305" s="23"/>
      <c r="H305" s="23"/>
      <c r="I305" s="23"/>
      <c r="J305" s="24"/>
      <c r="K305" s="23"/>
    </row>
    <row r="306" ht="15.75" customHeight="1">
      <c r="E306" s="22"/>
      <c r="F306" s="23"/>
      <c r="G306" s="23"/>
      <c r="H306" s="23"/>
      <c r="I306" s="23"/>
      <c r="J306" s="24"/>
      <c r="K306" s="23"/>
    </row>
    <row r="307" ht="15.75" customHeight="1">
      <c r="E307" s="22"/>
      <c r="F307" s="23"/>
      <c r="G307" s="23"/>
      <c r="H307" s="23"/>
      <c r="I307" s="23"/>
      <c r="J307" s="24"/>
      <c r="K307" s="23"/>
    </row>
    <row r="308" ht="15.75" customHeight="1">
      <c r="E308" s="22"/>
      <c r="F308" s="23"/>
      <c r="G308" s="23"/>
      <c r="H308" s="23"/>
      <c r="I308" s="23"/>
      <c r="J308" s="24"/>
      <c r="K308" s="23"/>
    </row>
    <row r="309" ht="15.75" customHeight="1">
      <c r="E309" s="22"/>
      <c r="F309" s="23"/>
      <c r="G309" s="23"/>
      <c r="H309" s="23"/>
      <c r="I309" s="23"/>
      <c r="J309" s="24"/>
      <c r="K309" s="23"/>
    </row>
    <row r="310" ht="15.75" customHeight="1">
      <c r="E310" s="22"/>
      <c r="F310" s="23"/>
      <c r="G310" s="23"/>
      <c r="H310" s="23"/>
      <c r="I310" s="23"/>
      <c r="J310" s="24"/>
      <c r="K310" s="23"/>
    </row>
    <row r="311" ht="15.75" customHeight="1">
      <c r="E311" s="22"/>
      <c r="F311" s="23"/>
      <c r="G311" s="23"/>
      <c r="H311" s="23"/>
      <c r="I311" s="23"/>
      <c r="J311" s="24"/>
      <c r="K311" s="23"/>
    </row>
    <row r="312" ht="15.75" customHeight="1">
      <c r="E312" s="22"/>
      <c r="F312" s="23"/>
      <c r="G312" s="23"/>
      <c r="H312" s="23"/>
      <c r="I312" s="23"/>
      <c r="J312" s="24"/>
      <c r="K312" s="23"/>
    </row>
    <row r="313" ht="15.75" customHeight="1">
      <c r="E313" s="22"/>
      <c r="F313" s="23"/>
      <c r="G313" s="23"/>
      <c r="H313" s="23"/>
      <c r="I313" s="23"/>
      <c r="J313" s="24"/>
      <c r="K313" s="23"/>
    </row>
    <row r="314" ht="15.75" customHeight="1">
      <c r="E314" s="22"/>
      <c r="F314" s="23"/>
      <c r="G314" s="23"/>
      <c r="H314" s="23"/>
      <c r="I314" s="23"/>
      <c r="J314" s="24"/>
      <c r="K314" s="23"/>
    </row>
    <row r="315" ht="15.75" customHeight="1">
      <c r="E315" s="22"/>
      <c r="F315" s="23"/>
      <c r="G315" s="23"/>
      <c r="H315" s="23"/>
      <c r="I315" s="23"/>
      <c r="J315" s="24"/>
      <c r="K315" s="23"/>
    </row>
    <row r="316" ht="15.75" customHeight="1">
      <c r="E316" s="22"/>
      <c r="F316" s="23"/>
      <c r="G316" s="23"/>
      <c r="H316" s="23"/>
      <c r="I316" s="23"/>
      <c r="J316" s="24"/>
      <c r="K316" s="23"/>
    </row>
    <row r="317" ht="15.75" customHeight="1">
      <c r="E317" s="22"/>
      <c r="F317" s="23"/>
      <c r="G317" s="23"/>
      <c r="H317" s="23"/>
      <c r="I317" s="23"/>
      <c r="J317" s="24"/>
      <c r="K317" s="23"/>
    </row>
    <row r="318" ht="15.75" customHeight="1">
      <c r="E318" s="22"/>
      <c r="F318" s="23"/>
      <c r="G318" s="23"/>
      <c r="H318" s="23"/>
      <c r="I318" s="23"/>
      <c r="J318" s="24"/>
      <c r="K318" s="23"/>
    </row>
    <row r="319" ht="15.75" customHeight="1">
      <c r="E319" s="22"/>
      <c r="F319" s="23"/>
      <c r="G319" s="23"/>
      <c r="H319" s="23"/>
      <c r="I319" s="23"/>
      <c r="J319" s="24"/>
      <c r="K319" s="23"/>
    </row>
    <row r="320" ht="15.75" customHeight="1">
      <c r="E320" s="22"/>
      <c r="F320" s="23"/>
      <c r="G320" s="23"/>
      <c r="H320" s="23"/>
      <c r="I320" s="23"/>
      <c r="J320" s="24"/>
      <c r="K320" s="23"/>
    </row>
    <row r="321" ht="15.75" customHeight="1">
      <c r="E321" s="22"/>
      <c r="F321" s="23"/>
      <c r="G321" s="23"/>
      <c r="H321" s="23"/>
      <c r="I321" s="23"/>
      <c r="J321" s="24"/>
      <c r="K321" s="23"/>
    </row>
    <row r="322" ht="15.75" customHeight="1">
      <c r="E322" s="22"/>
      <c r="F322" s="23"/>
      <c r="G322" s="23"/>
      <c r="H322" s="23"/>
      <c r="I322" s="23"/>
      <c r="J322" s="24"/>
      <c r="K322" s="23"/>
    </row>
    <row r="323" ht="15.75" customHeight="1">
      <c r="E323" s="22"/>
      <c r="F323" s="23"/>
      <c r="G323" s="23"/>
      <c r="H323" s="23"/>
      <c r="I323" s="23"/>
      <c r="J323" s="24"/>
      <c r="K323" s="23"/>
    </row>
    <row r="324" ht="15.75" customHeight="1">
      <c r="E324" s="22"/>
      <c r="F324" s="23"/>
      <c r="G324" s="23"/>
      <c r="H324" s="23"/>
      <c r="I324" s="23"/>
      <c r="J324" s="24"/>
      <c r="K324" s="23"/>
    </row>
    <row r="325" ht="15.75" customHeight="1">
      <c r="E325" s="22"/>
      <c r="F325" s="23"/>
      <c r="G325" s="23"/>
      <c r="H325" s="23"/>
      <c r="I325" s="23"/>
      <c r="J325" s="24"/>
      <c r="K325" s="23"/>
    </row>
    <row r="326" ht="15.75" customHeight="1">
      <c r="E326" s="22"/>
      <c r="F326" s="23"/>
      <c r="G326" s="23"/>
      <c r="H326" s="23"/>
      <c r="I326" s="23"/>
      <c r="J326" s="24"/>
      <c r="K326" s="23"/>
    </row>
    <row r="327" ht="15.75" customHeight="1">
      <c r="E327" s="22"/>
      <c r="F327" s="23"/>
      <c r="G327" s="23"/>
      <c r="H327" s="23"/>
      <c r="I327" s="23"/>
      <c r="J327" s="24"/>
      <c r="K327" s="23"/>
    </row>
    <row r="328" ht="15.75" customHeight="1">
      <c r="E328" s="22"/>
      <c r="F328" s="23"/>
      <c r="G328" s="23"/>
      <c r="H328" s="23"/>
      <c r="I328" s="23"/>
      <c r="J328" s="24"/>
      <c r="K328" s="23"/>
    </row>
    <row r="329" ht="15.75" customHeight="1">
      <c r="E329" s="22"/>
      <c r="F329" s="23"/>
      <c r="G329" s="23"/>
      <c r="H329" s="23"/>
      <c r="I329" s="23"/>
      <c r="J329" s="24"/>
      <c r="K329" s="23"/>
    </row>
    <row r="330" ht="15.75" customHeight="1">
      <c r="E330" s="22"/>
      <c r="F330" s="23"/>
      <c r="G330" s="23"/>
      <c r="H330" s="23"/>
      <c r="I330" s="23"/>
      <c r="J330" s="24"/>
      <c r="K330" s="23"/>
    </row>
    <row r="331" ht="15.75" customHeight="1">
      <c r="E331" s="22"/>
      <c r="F331" s="23"/>
      <c r="G331" s="23"/>
      <c r="H331" s="23"/>
      <c r="I331" s="23"/>
      <c r="J331" s="24"/>
      <c r="K331" s="23"/>
    </row>
    <row r="332" ht="15.75" customHeight="1">
      <c r="E332" s="22"/>
      <c r="F332" s="23"/>
      <c r="G332" s="23"/>
      <c r="H332" s="23"/>
      <c r="I332" s="23"/>
      <c r="J332" s="24"/>
      <c r="K332" s="23"/>
    </row>
    <row r="333" ht="15.75" customHeight="1">
      <c r="E333" s="22"/>
      <c r="F333" s="23"/>
      <c r="G333" s="23"/>
      <c r="H333" s="23"/>
      <c r="I333" s="23"/>
      <c r="J333" s="24"/>
      <c r="K333" s="23"/>
    </row>
    <row r="334" ht="15.75" customHeight="1">
      <c r="E334" s="22"/>
      <c r="F334" s="23"/>
      <c r="G334" s="23"/>
      <c r="H334" s="23"/>
      <c r="I334" s="23"/>
      <c r="J334" s="24"/>
      <c r="K334" s="23"/>
    </row>
    <row r="335" ht="15.75" customHeight="1">
      <c r="E335" s="22"/>
      <c r="F335" s="23"/>
      <c r="G335" s="23"/>
      <c r="H335" s="23"/>
      <c r="I335" s="23"/>
      <c r="J335" s="24"/>
      <c r="K335" s="23"/>
    </row>
    <row r="336" ht="15.75" customHeight="1">
      <c r="E336" s="22"/>
      <c r="F336" s="23"/>
      <c r="G336" s="23"/>
      <c r="H336" s="23"/>
      <c r="I336" s="23"/>
      <c r="J336" s="24"/>
      <c r="K336" s="23"/>
    </row>
    <row r="337" ht="15.75" customHeight="1">
      <c r="E337" s="22"/>
      <c r="F337" s="23"/>
      <c r="G337" s="23"/>
      <c r="H337" s="23"/>
      <c r="I337" s="23"/>
      <c r="J337" s="24"/>
      <c r="K337" s="23"/>
    </row>
    <row r="338" ht="15.75" customHeight="1">
      <c r="E338" s="22"/>
      <c r="F338" s="23"/>
      <c r="G338" s="23"/>
      <c r="H338" s="23"/>
      <c r="I338" s="23"/>
      <c r="J338" s="24"/>
      <c r="K338" s="23"/>
    </row>
    <row r="339" ht="15.75" customHeight="1">
      <c r="E339" s="22"/>
      <c r="F339" s="23"/>
      <c r="G339" s="23"/>
      <c r="H339" s="23"/>
      <c r="I339" s="23"/>
      <c r="J339" s="24"/>
      <c r="K339" s="23"/>
    </row>
    <row r="340" ht="15.75" customHeight="1">
      <c r="E340" s="22"/>
      <c r="F340" s="23"/>
      <c r="G340" s="23"/>
      <c r="H340" s="23"/>
      <c r="I340" s="23"/>
      <c r="J340" s="24"/>
      <c r="K340" s="23"/>
    </row>
    <row r="341" ht="15.75" customHeight="1">
      <c r="E341" s="22"/>
      <c r="F341" s="23"/>
      <c r="G341" s="23"/>
      <c r="H341" s="23"/>
      <c r="I341" s="23"/>
      <c r="J341" s="24"/>
      <c r="K341" s="23"/>
    </row>
    <row r="342" ht="15.75" customHeight="1">
      <c r="E342" s="22"/>
      <c r="F342" s="23"/>
      <c r="G342" s="23"/>
      <c r="H342" s="23"/>
      <c r="I342" s="23"/>
      <c r="J342" s="24"/>
      <c r="K342" s="23"/>
    </row>
    <row r="343" ht="15.75" customHeight="1">
      <c r="E343" s="22"/>
      <c r="F343" s="23"/>
      <c r="G343" s="23"/>
      <c r="H343" s="23"/>
      <c r="I343" s="23"/>
      <c r="J343" s="24"/>
      <c r="K343" s="23"/>
    </row>
    <row r="344" ht="15.75" customHeight="1">
      <c r="E344" s="22"/>
      <c r="F344" s="23"/>
      <c r="G344" s="23"/>
      <c r="H344" s="23"/>
      <c r="I344" s="23"/>
      <c r="J344" s="24"/>
      <c r="K344" s="23"/>
    </row>
    <row r="345" ht="15.75" customHeight="1">
      <c r="E345" s="22"/>
      <c r="F345" s="23"/>
      <c r="G345" s="23"/>
      <c r="H345" s="23"/>
      <c r="I345" s="23"/>
      <c r="J345" s="24"/>
      <c r="K345" s="23"/>
    </row>
    <row r="346" ht="15.75" customHeight="1">
      <c r="E346" s="22"/>
      <c r="F346" s="23"/>
      <c r="G346" s="23"/>
      <c r="H346" s="23"/>
      <c r="I346" s="23"/>
      <c r="J346" s="24"/>
      <c r="K346" s="23"/>
    </row>
    <row r="347" ht="15.75" customHeight="1">
      <c r="E347" s="22"/>
      <c r="F347" s="23"/>
      <c r="G347" s="23"/>
      <c r="H347" s="23"/>
      <c r="I347" s="23"/>
      <c r="J347" s="24"/>
      <c r="K347" s="23"/>
    </row>
    <row r="348" ht="15.75" customHeight="1">
      <c r="E348" s="22"/>
      <c r="F348" s="23"/>
      <c r="G348" s="23"/>
      <c r="H348" s="23"/>
      <c r="I348" s="23"/>
      <c r="J348" s="24"/>
      <c r="K348" s="23"/>
    </row>
    <row r="349" ht="15.75" customHeight="1">
      <c r="E349" s="22"/>
      <c r="F349" s="23"/>
      <c r="G349" s="23"/>
      <c r="H349" s="23"/>
      <c r="I349" s="23"/>
      <c r="J349" s="24"/>
      <c r="K349" s="23"/>
    </row>
    <row r="350" ht="15.75" customHeight="1">
      <c r="E350" s="22"/>
      <c r="F350" s="23"/>
      <c r="G350" s="23"/>
      <c r="H350" s="23"/>
      <c r="I350" s="23"/>
      <c r="J350" s="24"/>
      <c r="K350" s="23"/>
    </row>
    <row r="351" ht="15.75" customHeight="1">
      <c r="E351" s="22"/>
      <c r="F351" s="23"/>
      <c r="G351" s="23"/>
      <c r="H351" s="23"/>
      <c r="I351" s="23"/>
      <c r="J351" s="24"/>
      <c r="K351" s="23"/>
    </row>
    <row r="352" ht="15.75" customHeight="1">
      <c r="E352" s="22"/>
      <c r="F352" s="23"/>
      <c r="G352" s="23"/>
      <c r="H352" s="23"/>
      <c r="I352" s="23"/>
      <c r="J352" s="24"/>
      <c r="K352" s="23"/>
    </row>
    <row r="353" ht="15.75" customHeight="1">
      <c r="E353" s="22"/>
      <c r="F353" s="23"/>
      <c r="G353" s="23"/>
      <c r="H353" s="23"/>
      <c r="I353" s="23"/>
      <c r="J353" s="24"/>
      <c r="K353" s="23"/>
    </row>
    <row r="354" ht="15.75" customHeight="1">
      <c r="E354" s="22"/>
      <c r="F354" s="23"/>
      <c r="G354" s="23"/>
      <c r="H354" s="23"/>
      <c r="I354" s="23"/>
      <c r="J354" s="24"/>
      <c r="K354" s="23"/>
    </row>
    <row r="355" ht="15.75" customHeight="1">
      <c r="E355" s="22"/>
      <c r="F355" s="23"/>
      <c r="G355" s="23"/>
      <c r="H355" s="23"/>
      <c r="I355" s="23"/>
      <c r="J355" s="24"/>
      <c r="K355" s="23"/>
    </row>
    <row r="356" ht="15.75" customHeight="1">
      <c r="E356" s="22"/>
      <c r="F356" s="23"/>
      <c r="G356" s="23"/>
      <c r="H356" s="23"/>
      <c r="I356" s="23"/>
      <c r="J356" s="24"/>
      <c r="K356" s="23"/>
    </row>
    <row r="357" ht="15.75" customHeight="1">
      <c r="E357" s="22"/>
      <c r="F357" s="23"/>
      <c r="G357" s="23"/>
      <c r="H357" s="23"/>
      <c r="I357" s="23"/>
      <c r="J357" s="24"/>
      <c r="K357" s="23"/>
    </row>
    <row r="358" ht="15.75" customHeight="1">
      <c r="J358" s="24"/>
    </row>
    <row r="359" ht="15.75" customHeight="1">
      <c r="J359" s="24"/>
    </row>
    <row r="360" ht="15.75" customHeight="1">
      <c r="J360" s="24"/>
    </row>
    <row r="361" ht="15.75" customHeight="1">
      <c r="J361" s="24"/>
    </row>
    <row r="362" ht="15.75" customHeight="1">
      <c r="J362" s="24"/>
    </row>
    <row r="363" ht="15.75" customHeight="1">
      <c r="J363" s="24"/>
    </row>
    <row r="364" ht="15.75" customHeight="1">
      <c r="J364" s="24"/>
    </row>
    <row r="365" ht="15.75" customHeight="1">
      <c r="J365" s="24"/>
    </row>
    <row r="366" ht="15.75" customHeight="1">
      <c r="J366" s="24"/>
    </row>
    <row r="367" ht="15.75" customHeight="1">
      <c r="J367" s="24"/>
    </row>
    <row r="368" ht="15.75" customHeight="1">
      <c r="J368" s="24"/>
    </row>
    <row r="369" ht="15.75" customHeight="1">
      <c r="J369" s="24"/>
    </row>
    <row r="370" ht="15.75" customHeight="1">
      <c r="J370" s="24"/>
    </row>
    <row r="371" ht="15.75" customHeight="1">
      <c r="J371" s="24"/>
    </row>
    <row r="372" ht="15.75" customHeight="1">
      <c r="J372" s="24"/>
    </row>
    <row r="373" ht="15.75" customHeight="1">
      <c r="J373" s="24"/>
    </row>
    <row r="374" ht="15.75" customHeight="1">
      <c r="J374" s="24"/>
    </row>
    <row r="375" ht="15.75" customHeight="1">
      <c r="J375" s="24"/>
    </row>
    <row r="376" ht="15.75" customHeight="1">
      <c r="J376" s="24"/>
    </row>
    <row r="377" ht="15.75" customHeight="1">
      <c r="J377" s="24"/>
    </row>
    <row r="378" ht="15.75" customHeight="1">
      <c r="J378" s="24"/>
    </row>
    <row r="379" ht="15.75" customHeight="1">
      <c r="J379" s="24"/>
    </row>
    <row r="380" ht="15.75" customHeight="1">
      <c r="J380" s="24"/>
    </row>
    <row r="381" ht="15.75" customHeight="1">
      <c r="J381" s="24"/>
    </row>
    <row r="382" ht="15.75" customHeight="1">
      <c r="J382" s="24"/>
    </row>
    <row r="383" ht="15.75" customHeight="1">
      <c r="J383" s="24"/>
    </row>
    <row r="384" ht="15.75" customHeight="1">
      <c r="J384" s="24"/>
    </row>
    <row r="385" ht="15.75" customHeight="1">
      <c r="J385" s="24"/>
    </row>
    <row r="386" ht="15.75" customHeight="1">
      <c r="J386" s="24"/>
    </row>
    <row r="387" ht="15.75" customHeight="1">
      <c r="J387" s="24"/>
    </row>
    <row r="388" ht="15.75" customHeight="1">
      <c r="J388" s="24"/>
    </row>
    <row r="389" ht="15.75" customHeight="1">
      <c r="J389" s="24"/>
    </row>
    <row r="390" ht="15.75" customHeight="1">
      <c r="J390" s="24"/>
    </row>
    <row r="391" ht="15.75" customHeight="1">
      <c r="J391" s="24"/>
    </row>
    <row r="392" ht="15.75" customHeight="1">
      <c r="J392" s="24"/>
    </row>
    <row r="393" ht="15.75" customHeight="1">
      <c r="J393" s="24"/>
    </row>
    <row r="394" ht="15.75" customHeight="1">
      <c r="J394" s="24"/>
    </row>
    <row r="395" ht="15.75" customHeight="1">
      <c r="J395" s="24"/>
    </row>
    <row r="396" ht="15.75" customHeight="1">
      <c r="J396" s="24"/>
    </row>
    <row r="397" ht="15.75" customHeight="1">
      <c r="J397" s="24"/>
    </row>
    <row r="398" ht="15.75" customHeight="1">
      <c r="J398" s="24"/>
    </row>
    <row r="399" ht="15.75" customHeight="1">
      <c r="J399" s="24"/>
    </row>
    <row r="400" ht="15.75" customHeight="1">
      <c r="J400" s="24"/>
    </row>
    <row r="401" ht="15.75" customHeight="1">
      <c r="J401" s="24"/>
    </row>
    <row r="402" ht="15.75" customHeight="1">
      <c r="J402" s="24"/>
    </row>
    <row r="403" ht="15.75" customHeight="1">
      <c r="J403" s="24"/>
    </row>
    <row r="404" ht="15.75" customHeight="1">
      <c r="J404" s="24"/>
    </row>
    <row r="405" ht="15.75" customHeight="1">
      <c r="J405" s="24"/>
    </row>
    <row r="406" ht="15.75" customHeight="1">
      <c r="J406" s="24"/>
    </row>
    <row r="407" ht="15.75" customHeight="1">
      <c r="J407" s="24"/>
    </row>
    <row r="408" ht="15.75" customHeight="1">
      <c r="J408" s="24"/>
    </row>
    <row r="409" ht="15.75" customHeight="1">
      <c r="J409" s="24"/>
    </row>
    <row r="410" ht="15.75" customHeight="1">
      <c r="J410" s="24"/>
    </row>
    <row r="411" ht="15.75" customHeight="1">
      <c r="J411" s="24"/>
    </row>
    <row r="412" ht="15.75" customHeight="1">
      <c r="J412" s="24"/>
    </row>
    <row r="413" ht="15.75" customHeight="1">
      <c r="J413" s="24"/>
    </row>
    <row r="414" ht="15.75" customHeight="1">
      <c r="J414" s="24"/>
    </row>
    <row r="415" ht="15.75" customHeight="1">
      <c r="J415" s="24"/>
    </row>
    <row r="416" ht="15.75" customHeight="1">
      <c r="J416" s="24"/>
    </row>
    <row r="417" ht="15.75" customHeight="1">
      <c r="J417" s="24"/>
    </row>
    <row r="418" ht="15.75" customHeight="1">
      <c r="J418" s="24"/>
    </row>
    <row r="419" ht="15.75" customHeight="1">
      <c r="J419" s="24"/>
    </row>
    <row r="420" ht="15.75" customHeight="1">
      <c r="J420" s="24"/>
    </row>
    <row r="421" ht="15.75" customHeight="1">
      <c r="J421" s="24"/>
    </row>
    <row r="422" ht="15.75" customHeight="1">
      <c r="J422" s="24"/>
    </row>
    <row r="423" ht="15.75" customHeight="1">
      <c r="J423" s="24"/>
    </row>
    <row r="424" ht="15.75" customHeight="1">
      <c r="J424" s="24"/>
    </row>
    <row r="425" ht="15.75" customHeight="1">
      <c r="J425" s="24"/>
    </row>
    <row r="426" ht="15.75" customHeight="1">
      <c r="J426" s="24"/>
    </row>
    <row r="427" ht="15.75" customHeight="1">
      <c r="J427" s="24"/>
    </row>
    <row r="428" ht="15.75" customHeight="1">
      <c r="J428" s="24"/>
    </row>
    <row r="429" ht="15.75" customHeight="1">
      <c r="J429" s="24"/>
    </row>
    <row r="430" ht="15.75" customHeight="1">
      <c r="J430" s="24"/>
    </row>
    <row r="431" ht="15.75" customHeight="1">
      <c r="J431" s="24"/>
    </row>
    <row r="432" ht="15.75" customHeight="1">
      <c r="J432" s="24"/>
    </row>
    <row r="433" ht="15.75" customHeight="1">
      <c r="J433" s="24"/>
    </row>
    <row r="434" ht="15.75" customHeight="1">
      <c r="J434" s="24"/>
    </row>
    <row r="435" ht="15.75" customHeight="1">
      <c r="J435" s="24"/>
    </row>
    <row r="436" ht="15.75" customHeight="1">
      <c r="J436" s="24"/>
    </row>
    <row r="437" ht="15.75" customHeight="1">
      <c r="J437" s="24"/>
    </row>
    <row r="438" ht="15.75" customHeight="1">
      <c r="J438" s="24"/>
    </row>
    <row r="439" ht="15.75" customHeight="1">
      <c r="J439" s="24"/>
    </row>
    <row r="440" ht="15.75" customHeight="1">
      <c r="J440" s="24"/>
    </row>
    <row r="441" ht="15.75" customHeight="1">
      <c r="J441" s="24"/>
    </row>
    <row r="442" ht="15.75" customHeight="1">
      <c r="J442" s="24"/>
    </row>
    <row r="443" ht="15.75" customHeight="1">
      <c r="J443" s="24"/>
    </row>
    <row r="444" ht="15.75" customHeight="1">
      <c r="J444" s="24"/>
    </row>
    <row r="445" ht="15.75" customHeight="1">
      <c r="J445" s="24"/>
    </row>
    <row r="446" ht="15.75" customHeight="1">
      <c r="J446" s="24"/>
    </row>
    <row r="447" ht="15.75" customHeight="1">
      <c r="J447" s="24"/>
    </row>
    <row r="448" ht="15.75" customHeight="1">
      <c r="J448" s="24"/>
    </row>
    <row r="449" ht="15.75" customHeight="1">
      <c r="J449" s="24"/>
    </row>
    <row r="450" ht="15.75" customHeight="1">
      <c r="J450" s="24"/>
    </row>
    <row r="451" ht="15.75" customHeight="1">
      <c r="J451" s="24"/>
    </row>
    <row r="452" ht="15.75" customHeight="1">
      <c r="J452" s="24"/>
    </row>
    <row r="453" ht="15.75" customHeight="1">
      <c r="J453" s="24"/>
    </row>
    <row r="454" ht="15.75" customHeight="1">
      <c r="J454" s="24"/>
    </row>
    <row r="455" ht="15.75" customHeight="1">
      <c r="J455" s="24"/>
    </row>
    <row r="456" ht="15.75" customHeight="1">
      <c r="J456" s="24"/>
    </row>
    <row r="457" ht="15.75" customHeight="1">
      <c r="J457" s="24"/>
    </row>
    <row r="458" ht="15.75" customHeight="1">
      <c r="J458" s="24"/>
    </row>
    <row r="459" ht="15.75" customHeight="1">
      <c r="J459" s="24"/>
    </row>
    <row r="460" ht="15.75" customHeight="1">
      <c r="J460" s="24"/>
    </row>
    <row r="461" ht="15.75" customHeight="1">
      <c r="J461" s="24"/>
    </row>
    <row r="462" ht="15.75" customHeight="1">
      <c r="J462" s="24"/>
    </row>
    <row r="463" ht="15.75" customHeight="1">
      <c r="J463" s="24"/>
    </row>
    <row r="464" ht="15.75" customHeight="1">
      <c r="J464" s="24"/>
    </row>
    <row r="465" ht="15.75" customHeight="1">
      <c r="J465" s="24"/>
    </row>
    <row r="466" ht="15.75" customHeight="1">
      <c r="J466" s="24"/>
    </row>
    <row r="467" ht="15.75" customHeight="1">
      <c r="J467" s="24"/>
    </row>
    <row r="468" ht="15.75" customHeight="1">
      <c r="J468" s="24"/>
    </row>
    <row r="469" ht="15.75" customHeight="1">
      <c r="J469" s="24"/>
    </row>
    <row r="470" ht="15.75" customHeight="1">
      <c r="J470" s="24"/>
    </row>
    <row r="471" ht="15.75" customHeight="1">
      <c r="J471" s="24"/>
    </row>
    <row r="472" ht="15.75" customHeight="1">
      <c r="J472" s="24"/>
    </row>
    <row r="473" ht="15.75" customHeight="1">
      <c r="J473" s="24"/>
    </row>
    <row r="474" ht="15.75" customHeight="1">
      <c r="J474" s="24"/>
    </row>
    <row r="475" ht="15.75" customHeight="1">
      <c r="J475" s="24"/>
    </row>
    <row r="476" ht="15.75" customHeight="1">
      <c r="J476" s="24"/>
    </row>
    <row r="477" ht="15.75" customHeight="1">
      <c r="J477" s="24"/>
    </row>
    <row r="478" ht="15.75" customHeight="1">
      <c r="J478" s="24"/>
    </row>
    <row r="479" ht="15.75" customHeight="1">
      <c r="J479" s="24"/>
    </row>
    <row r="480" ht="15.75" customHeight="1">
      <c r="J480" s="24"/>
    </row>
    <row r="481" ht="15.75" customHeight="1">
      <c r="J481" s="24"/>
    </row>
    <row r="482" ht="15.75" customHeight="1">
      <c r="J482" s="24"/>
    </row>
    <row r="483" ht="15.75" customHeight="1">
      <c r="J483" s="24"/>
    </row>
    <row r="484" ht="15.75" customHeight="1">
      <c r="J484" s="24"/>
    </row>
    <row r="485" ht="15.75" customHeight="1">
      <c r="J485" s="24"/>
    </row>
    <row r="486" ht="15.75" customHeight="1">
      <c r="J486" s="24"/>
    </row>
    <row r="487" ht="15.75" customHeight="1">
      <c r="J487" s="24"/>
    </row>
    <row r="488" ht="15.75" customHeight="1">
      <c r="J488" s="24"/>
    </row>
    <row r="489" ht="15.75" customHeight="1">
      <c r="J489" s="24"/>
    </row>
    <row r="490" ht="15.75" customHeight="1">
      <c r="J490" s="24"/>
    </row>
    <row r="491" ht="15.75" customHeight="1">
      <c r="J491" s="24"/>
    </row>
    <row r="492" ht="15.75" customHeight="1">
      <c r="J492" s="24"/>
    </row>
    <row r="493" ht="15.75" customHeight="1">
      <c r="J493" s="24"/>
    </row>
    <row r="494" ht="15.75" customHeight="1">
      <c r="J494" s="24"/>
    </row>
    <row r="495" ht="15.75" customHeight="1">
      <c r="J495" s="24"/>
    </row>
    <row r="496" ht="15.75" customHeight="1">
      <c r="J496" s="24"/>
    </row>
    <row r="497" ht="15.75" customHeight="1">
      <c r="J497" s="24"/>
    </row>
    <row r="498" ht="15.75" customHeight="1">
      <c r="J498" s="24"/>
    </row>
    <row r="499" ht="15.75" customHeight="1">
      <c r="J499" s="24"/>
    </row>
    <row r="500" ht="15.75" customHeight="1">
      <c r="J500" s="24"/>
    </row>
    <row r="501" ht="15.75" customHeight="1">
      <c r="J501" s="24"/>
    </row>
    <row r="502" ht="15.75" customHeight="1">
      <c r="J502" s="24"/>
    </row>
    <row r="503" ht="15.75" customHeight="1">
      <c r="J503" s="24"/>
    </row>
    <row r="504" ht="15.75" customHeight="1">
      <c r="J504" s="24"/>
    </row>
    <row r="505" ht="15.75" customHeight="1">
      <c r="J505" s="24"/>
    </row>
    <row r="506" ht="15.75" customHeight="1">
      <c r="J506" s="24"/>
    </row>
    <row r="507" ht="15.75" customHeight="1">
      <c r="J507" s="24"/>
    </row>
    <row r="508" ht="15.75" customHeight="1">
      <c r="J508" s="24"/>
    </row>
    <row r="509" ht="15.75" customHeight="1">
      <c r="J509" s="24"/>
    </row>
    <row r="510" ht="15.75" customHeight="1">
      <c r="J510" s="24"/>
    </row>
    <row r="511" ht="15.75" customHeight="1">
      <c r="J511" s="24"/>
    </row>
    <row r="512" ht="15.75" customHeight="1">
      <c r="J512" s="24"/>
    </row>
    <row r="513" ht="15.75" customHeight="1">
      <c r="J513" s="24"/>
    </row>
    <row r="514" ht="15.75" customHeight="1">
      <c r="J514" s="24"/>
    </row>
    <row r="515" ht="15.75" customHeight="1">
      <c r="J515" s="24"/>
    </row>
    <row r="516" ht="15.75" customHeight="1">
      <c r="J516" s="24"/>
    </row>
    <row r="517" ht="15.75" customHeight="1">
      <c r="J517" s="24"/>
    </row>
    <row r="518" ht="15.75" customHeight="1">
      <c r="J518" s="24"/>
    </row>
    <row r="519" ht="15.75" customHeight="1">
      <c r="J519" s="24"/>
    </row>
    <row r="520" ht="15.75" customHeight="1">
      <c r="J520" s="24"/>
    </row>
    <row r="521" ht="15.75" customHeight="1">
      <c r="J521" s="24"/>
    </row>
    <row r="522" ht="15.75" customHeight="1">
      <c r="J522" s="24"/>
    </row>
    <row r="523" ht="15.75" customHeight="1">
      <c r="J523" s="24"/>
    </row>
    <row r="524" ht="15.75" customHeight="1">
      <c r="J524" s="24"/>
    </row>
    <row r="525" ht="15.75" customHeight="1">
      <c r="J525" s="24"/>
    </row>
    <row r="526" ht="15.75" customHeight="1">
      <c r="J526" s="24"/>
    </row>
    <row r="527" ht="15.75" customHeight="1">
      <c r="J527" s="24"/>
    </row>
    <row r="528" ht="15.75" customHeight="1">
      <c r="J528" s="24"/>
    </row>
    <row r="529" ht="15.75" customHeight="1">
      <c r="J529" s="24"/>
    </row>
    <row r="530" ht="15.75" customHeight="1">
      <c r="J530" s="24"/>
    </row>
    <row r="531" ht="15.75" customHeight="1">
      <c r="J531" s="24"/>
    </row>
    <row r="532" ht="15.75" customHeight="1">
      <c r="J532" s="24"/>
    </row>
    <row r="533" ht="15.75" customHeight="1">
      <c r="J533" s="24"/>
    </row>
    <row r="534" ht="15.75" customHeight="1">
      <c r="J534" s="24"/>
    </row>
    <row r="535" ht="15.75" customHeight="1">
      <c r="J535" s="24"/>
    </row>
    <row r="536" ht="15.75" customHeight="1">
      <c r="J536" s="24"/>
    </row>
    <row r="537" ht="15.75" customHeight="1">
      <c r="J537" s="24"/>
    </row>
    <row r="538" ht="15.75" customHeight="1">
      <c r="J538" s="24"/>
    </row>
    <row r="539" ht="15.75" customHeight="1">
      <c r="J539" s="24"/>
    </row>
    <row r="540" ht="15.75" customHeight="1">
      <c r="J540" s="24"/>
    </row>
    <row r="541" ht="15.75" customHeight="1">
      <c r="J541" s="24"/>
    </row>
    <row r="542" ht="15.75" customHeight="1">
      <c r="J542" s="24"/>
    </row>
    <row r="543" ht="15.75" customHeight="1">
      <c r="J543" s="24"/>
    </row>
    <row r="544" ht="15.75" customHeight="1">
      <c r="J544" s="24"/>
    </row>
    <row r="545" ht="15.75" customHeight="1">
      <c r="J545" s="24"/>
    </row>
    <row r="546" ht="15.75" customHeight="1">
      <c r="J546" s="24"/>
    </row>
    <row r="547" ht="15.75" customHeight="1">
      <c r="J547" s="24"/>
    </row>
    <row r="548" ht="15.75" customHeight="1">
      <c r="J548" s="24"/>
    </row>
    <row r="549" ht="15.75" customHeight="1">
      <c r="J549" s="24"/>
    </row>
    <row r="550" ht="15.75" customHeight="1">
      <c r="J550" s="24"/>
    </row>
    <row r="551" ht="15.75" customHeight="1">
      <c r="J551" s="24"/>
    </row>
    <row r="552" ht="15.75" customHeight="1">
      <c r="J552" s="24"/>
    </row>
    <row r="553" ht="15.75" customHeight="1">
      <c r="J553" s="24"/>
    </row>
    <row r="554" ht="15.75" customHeight="1">
      <c r="J554" s="24"/>
    </row>
    <row r="555" ht="15.75" customHeight="1">
      <c r="J555" s="24"/>
    </row>
    <row r="556" ht="15.75" customHeight="1">
      <c r="J556" s="24"/>
    </row>
    <row r="557" ht="15.75" customHeight="1">
      <c r="J557" s="24"/>
    </row>
    <row r="558" ht="15.75" customHeight="1">
      <c r="J558" s="24"/>
    </row>
    <row r="559" ht="15.75" customHeight="1">
      <c r="J559" s="24"/>
    </row>
    <row r="560" ht="15.75" customHeight="1">
      <c r="J560" s="24"/>
    </row>
    <row r="561" ht="15.75" customHeight="1">
      <c r="J561" s="24"/>
    </row>
    <row r="562" ht="15.75" customHeight="1">
      <c r="J562" s="24"/>
    </row>
    <row r="563" ht="15.75" customHeight="1">
      <c r="J563" s="24"/>
    </row>
    <row r="564" ht="15.75" customHeight="1">
      <c r="J564" s="24"/>
    </row>
    <row r="565" ht="15.75" customHeight="1">
      <c r="J565" s="24"/>
    </row>
    <row r="566" ht="15.75" customHeight="1">
      <c r="J566" s="24"/>
    </row>
    <row r="567" ht="15.75" customHeight="1">
      <c r="J567" s="24"/>
    </row>
    <row r="568" ht="15.75" customHeight="1">
      <c r="J568" s="24"/>
    </row>
    <row r="569" ht="15.75" customHeight="1">
      <c r="J569" s="24"/>
    </row>
    <row r="570" ht="15.75" customHeight="1">
      <c r="J570" s="24"/>
    </row>
    <row r="571" ht="15.75" customHeight="1">
      <c r="J571" s="24"/>
    </row>
    <row r="572" ht="15.75" customHeight="1">
      <c r="J572" s="24"/>
    </row>
    <row r="573" ht="15.75" customHeight="1">
      <c r="J573" s="24"/>
    </row>
    <row r="574" ht="15.75" customHeight="1">
      <c r="J574" s="24"/>
    </row>
    <row r="575" ht="15.75" customHeight="1">
      <c r="J575" s="24"/>
    </row>
    <row r="576" ht="15.75" customHeight="1">
      <c r="J576" s="24"/>
    </row>
    <row r="577" ht="15.75" customHeight="1">
      <c r="J577" s="24"/>
    </row>
    <row r="578" ht="15.75" customHeight="1">
      <c r="J578" s="24"/>
    </row>
    <row r="579" ht="15.75" customHeight="1">
      <c r="J579" s="24"/>
    </row>
    <row r="580" ht="15.75" customHeight="1">
      <c r="J580" s="24"/>
    </row>
    <row r="581" ht="15.75" customHeight="1">
      <c r="J581" s="24"/>
    </row>
    <row r="582" ht="15.75" customHeight="1">
      <c r="J582" s="24"/>
    </row>
    <row r="583" ht="15.75" customHeight="1">
      <c r="J583" s="24"/>
    </row>
    <row r="584" ht="15.75" customHeight="1">
      <c r="J584" s="24"/>
    </row>
    <row r="585" ht="15.75" customHeight="1">
      <c r="J585" s="24"/>
    </row>
    <row r="586" ht="15.75" customHeight="1">
      <c r="J586" s="24"/>
    </row>
    <row r="587" ht="15.75" customHeight="1">
      <c r="J587" s="24"/>
    </row>
    <row r="588" ht="15.75" customHeight="1">
      <c r="J588" s="24"/>
    </row>
    <row r="589" ht="15.75" customHeight="1">
      <c r="J589" s="24"/>
    </row>
    <row r="590" ht="15.75" customHeight="1">
      <c r="J590" s="24"/>
    </row>
    <row r="591" ht="15.75" customHeight="1">
      <c r="J591" s="24"/>
    </row>
    <row r="592" ht="15.75" customHeight="1">
      <c r="J592" s="24"/>
    </row>
    <row r="593" ht="15.75" customHeight="1">
      <c r="J593" s="24"/>
    </row>
    <row r="594" ht="15.75" customHeight="1">
      <c r="J594" s="24"/>
    </row>
    <row r="595" ht="15.75" customHeight="1">
      <c r="J595" s="24"/>
    </row>
    <row r="596" ht="15.75" customHeight="1">
      <c r="J596" s="24"/>
    </row>
    <row r="597" ht="15.75" customHeight="1">
      <c r="J597" s="24"/>
    </row>
    <row r="598" ht="15.75" customHeight="1">
      <c r="J598" s="24"/>
    </row>
    <row r="599" ht="15.75" customHeight="1">
      <c r="J599" s="24"/>
    </row>
    <row r="600" ht="15.75" customHeight="1">
      <c r="J600" s="24"/>
    </row>
    <row r="601" ht="15.75" customHeight="1">
      <c r="J601" s="24"/>
    </row>
    <row r="602" ht="15.75" customHeight="1">
      <c r="J602" s="24"/>
    </row>
    <row r="603" ht="15.75" customHeight="1">
      <c r="J603" s="24"/>
    </row>
    <row r="604" ht="15.75" customHeight="1">
      <c r="J604" s="24"/>
    </row>
    <row r="605" ht="15.75" customHeight="1">
      <c r="J605" s="24"/>
    </row>
    <row r="606" ht="15.75" customHeight="1">
      <c r="J606" s="24"/>
    </row>
    <row r="607" ht="15.75" customHeight="1">
      <c r="J607" s="24"/>
    </row>
    <row r="608" ht="15.75" customHeight="1">
      <c r="J608" s="24"/>
    </row>
    <row r="609" ht="15.75" customHeight="1">
      <c r="J609" s="24"/>
    </row>
    <row r="610" ht="15.75" customHeight="1">
      <c r="J610" s="24"/>
    </row>
    <row r="611" ht="15.75" customHeight="1">
      <c r="J611" s="24"/>
    </row>
    <row r="612" ht="15.75" customHeight="1">
      <c r="J612" s="24"/>
    </row>
    <row r="613" ht="15.75" customHeight="1">
      <c r="J613" s="24"/>
    </row>
    <row r="614" ht="15.75" customHeight="1">
      <c r="J614" s="24"/>
    </row>
    <row r="615" ht="15.75" customHeight="1">
      <c r="J615" s="24"/>
    </row>
    <row r="616" ht="15.75" customHeight="1">
      <c r="J616" s="24"/>
    </row>
    <row r="617" ht="15.75" customHeight="1">
      <c r="J617" s="24"/>
    </row>
    <row r="618" ht="15.75" customHeight="1">
      <c r="J618" s="24"/>
    </row>
    <row r="619" ht="15.75" customHeight="1">
      <c r="J619" s="24"/>
    </row>
    <row r="620" ht="15.75" customHeight="1">
      <c r="J620" s="24"/>
    </row>
    <row r="621" ht="15.75" customHeight="1">
      <c r="J621" s="24"/>
    </row>
    <row r="622" ht="15.75" customHeight="1">
      <c r="J622" s="24"/>
    </row>
    <row r="623" ht="15.75" customHeight="1">
      <c r="J623" s="24"/>
    </row>
    <row r="624" ht="15.75" customHeight="1">
      <c r="J624" s="24"/>
    </row>
    <row r="625" ht="15.75" customHeight="1">
      <c r="J625" s="24"/>
    </row>
    <row r="626" ht="15.75" customHeight="1">
      <c r="J626" s="24"/>
    </row>
    <row r="627" ht="15.75" customHeight="1">
      <c r="J627" s="24"/>
    </row>
    <row r="628" ht="15.75" customHeight="1">
      <c r="J628" s="24"/>
    </row>
    <row r="629" ht="15.75" customHeight="1">
      <c r="J629" s="24"/>
    </row>
    <row r="630" ht="15.75" customHeight="1">
      <c r="J630" s="24"/>
    </row>
    <row r="631" ht="15.75" customHeight="1">
      <c r="J631" s="24"/>
    </row>
    <row r="632" ht="15.75" customHeight="1">
      <c r="J632" s="24"/>
    </row>
    <row r="633" ht="15.75" customHeight="1">
      <c r="J633" s="24"/>
    </row>
    <row r="634" ht="15.75" customHeight="1">
      <c r="J634" s="24"/>
    </row>
    <row r="635" ht="15.75" customHeight="1">
      <c r="J635" s="24"/>
    </row>
    <row r="636" ht="15.75" customHeight="1">
      <c r="J636" s="24"/>
    </row>
    <row r="637" ht="15.75" customHeight="1">
      <c r="J637" s="24"/>
    </row>
    <row r="638" ht="15.75" customHeight="1">
      <c r="J638" s="24"/>
    </row>
    <row r="639" ht="15.75" customHeight="1">
      <c r="J639" s="24"/>
    </row>
    <row r="640" ht="15.75" customHeight="1">
      <c r="J640" s="24"/>
    </row>
    <row r="641" ht="15.75" customHeight="1">
      <c r="J641" s="24"/>
    </row>
    <row r="642" ht="15.75" customHeight="1">
      <c r="J642" s="24"/>
    </row>
    <row r="643" ht="15.75" customHeight="1">
      <c r="J643" s="24"/>
    </row>
    <row r="644" ht="15.75" customHeight="1">
      <c r="J644" s="24"/>
    </row>
    <row r="645" ht="15.75" customHeight="1">
      <c r="J645" s="24"/>
    </row>
    <row r="646" ht="15.75" customHeight="1">
      <c r="J646" s="24"/>
    </row>
    <row r="647" ht="15.75" customHeight="1">
      <c r="J647" s="24"/>
    </row>
    <row r="648" ht="15.75" customHeight="1">
      <c r="J648" s="24"/>
    </row>
    <row r="649" ht="15.75" customHeight="1">
      <c r="J649" s="24"/>
    </row>
    <row r="650" ht="15.75" customHeight="1">
      <c r="J650" s="24"/>
    </row>
    <row r="651" ht="15.75" customHeight="1">
      <c r="J651" s="24"/>
    </row>
    <row r="652" ht="15.75" customHeight="1">
      <c r="J652" s="24"/>
    </row>
    <row r="653" ht="15.75" customHeight="1">
      <c r="J653" s="24"/>
    </row>
    <row r="654" ht="15.75" customHeight="1">
      <c r="J654" s="24"/>
    </row>
    <row r="655" ht="15.75" customHeight="1">
      <c r="J655" s="24"/>
    </row>
    <row r="656" ht="15.75" customHeight="1">
      <c r="J656" s="24"/>
    </row>
    <row r="657" ht="15.75" customHeight="1">
      <c r="J657" s="24"/>
    </row>
    <row r="658" ht="15.75" customHeight="1">
      <c r="J658" s="24"/>
    </row>
    <row r="659" ht="15.75" customHeight="1">
      <c r="J659" s="24"/>
    </row>
    <row r="660" ht="15.75" customHeight="1">
      <c r="J660" s="24"/>
    </row>
    <row r="661" ht="15.75" customHeight="1">
      <c r="J661" s="24"/>
    </row>
    <row r="662" ht="15.75" customHeight="1">
      <c r="J662" s="24"/>
    </row>
    <row r="663" ht="15.75" customHeight="1">
      <c r="J663" s="24"/>
    </row>
    <row r="664" ht="15.75" customHeight="1">
      <c r="J664" s="24"/>
    </row>
    <row r="665" ht="15.75" customHeight="1">
      <c r="J665" s="24"/>
    </row>
    <row r="666" ht="15.75" customHeight="1">
      <c r="J666" s="24"/>
    </row>
    <row r="667" ht="15.75" customHeight="1">
      <c r="J667" s="24"/>
    </row>
    <row r="668" ht="15.75" customHeight="1">
      <c r="J668" s="24"/>
    </row>
    <row r="669" ht="15.75" customHeight="1">
      <c r="J669" s="24"/>
    </row>
    <row r="670" ht="15.75" customHeight="1">
      <c r="J670" s="24"/>
    </row>
    <row r="671" ht="15.75" customHeight="1">
      <c r="J671" s="24"/>
    </row>
    <row r="672" ht="15.75" customHeight="1">
      <c r="J672" s="24"/>
    </row>
    <row r="673" ht="15.75" customHeight="1">
      <c r="J673" s="24"/>
    </row>
    <row r="674" ht="15.75" customHeight="1">
      <c r="J674" s="24"/>
    </row>
    <row r="675" ht="15.75" customHeight="1">
      <c r="J675" s="24"/>
    </row>
    <row r="676" ht="15.75" customHeight="1">
      <c r="J676" s="24"/>
    </row>
    <row r="677" ht="15.75" customHeight="1">
      <c r="J677" s="24"/>
    </row>
    <row r="678" ht="15.75" customHeight="1">
      <c r="J678" s="24"/>
    </row>
    <row r="679" ht="15.75" customHeight="1">
      <c r="J679" s="24"/>
    </row>
    <row r="680" ht="15.75" customHeight="1">
      <c r="J680" s="24"/>
    </row>
    <row r="681" ht="15.75" customHeight="1">
      <c r="J681" s="24"/>
    </row>
    <row r="682" ht="15.75" customHeight="1">
      <c r="J682" s="24"/>
    </row>
    <row r="683" ht="15.75" customHeight="1">
      <c r="J683" s="24"/>
    </row>
    <row r="684" ht="15.75" customHeight="1">
      <c r="J684" s="24"/>
    </row>
    <row r="685" ht="15.75" customHeight="1">
      <c r="J685" s="24"/>
    </row>
    <row r="686" ht="15.75" customHeight="1">
      <c r="J686" s="24"/>
    </row>
    <row r="687" ht="15.75" customHeight="1">
      <c r="J687" s="24"/>
    </row>
    <row r="688" ht="15.75" customHeight="1">
      <c r="J688" s="24"/>
    </row>
    <row r="689" ht="15.75" customHeight="1">
      <c r="J689" s="24"/>
    </row>
    <row r="690" ht="15.75" customHeight="1">
      <c r="J690" s="24"/>
    </row>
    <row r="691" ht="15.75" customHeight="1">
      <c r="J691" s="24"/>
    </row>
    <row r="692" ht="15.75" customHeight="1">
      <c r="J692" s="24"/>
    </row>
    <row r="693" ht="15.75" customHeight="1">
      <c r="J693" s="24"/>
    </row>
    <row r="694" ht="15.75" customHeight="1">
      <c r="J694" s="24"/>
    </row>
    <row r="695" ht="15.75" customHeight="1">
      <c r="J695" s="24"/>
    </row>
    <row r="696" ht="15.75" customHeight="1">
      <c r="J696" s="24"/>
    </row>
    <row r="697" ht="15.75" customHeight="1">
      <c r="J697" s="24"/>
    </row>
    <row r="698" ht="15.75" customHeight="1">
      <c r="J698" s="24"/>
    </row>
    <row r="699" ht="15.75" customHeight="1">
      <c r="J699" s="24"/>
    </row>
    <row r="700" ht="15.75" customHeight="1">
      <c r="J700" s="24"/>
    </row>
    <row r="701" ht="15.75" customHeight="1">
      <c r="J701" s="24"/>
    </row>
    <row r="702" ht="15.75" customHeight="1">
      <c r="J702" s="24"/>
    </row>
    <row r="703" ht="15.75" customHeight="1">
      <c r="J703" s="24"/>
    </row>
    <row r="704" ht="15.75" customHeight="1">
      <c r="J704" s="24"/>
    </row>
    <row r="705" ht="15.75" customHeight="1">
      <c r="J705" s="24"/>
    </row>
    <row r="706" ht="15.75" customHeight="1">
      <c r="J706" s="24"/>
    </row>
    <row r="707" ht="15.75" customHeight="1">
      <c r="J707" s="24"/>
    </row>
    <row r="708" ht="15.75" customHeight="1">
      <c r="J708" s="24"/>
    </row>
    <row r="709" ht="15.75" customHeight="1">
      <c r="J709" s="24"/>
    </row>
    <row r="710" ht="15.75" customHeight="1">
      <c r="J710" s="24"/>
    </row>
    <row r="711" ht="15.75" customHeight="1">
      <c r="J711" s="24"/>
    </row>
    <row r="712" ht="15.75" customHeight="1">
      <c r="J712" s="24"/>
    </row>
    <row r="713" ht="15.75" customHeight="1">
      <c r="J713" s="24"/>
    </row>
    <row r="714" ht="15.75" customHeight="1">
      <c r="J714" s="24"/>
    </row>
    <row r="715" ht="15.75" customHeight="1">
      <c r="J715" s="24"/>
    </row>
    <row r="716" ht="15.75" customHeight="1">
      <c r="J716" s="24"/>
    </row>
    <row r="717" ht="15.75" customHeight="1">
      <c r="J717" s="24"/>
    </row>
    <row r="718" ht="15.75" customHeight="1">
      <c r="J718" s="24"/>
    </row>
    <row r="719" ht="15.75" customHeight="1">
      <c r="J719" s="24"/>
    </row>
    <row r="720" ht="15.75" customHeight="1">
      <c r="J720" s="24"/>
    </row>
    <row r="721" ht="15.75" customHeight="1">
      <c r="J721" s="24"/>
    </row>
    <row r="722" ht="15.75" customHeight="1">
      <c r="J722" s="24"/>
    </row>
    <row r="723" ht="15.75" customHeight="1">
      <c r="J723" s="24"/>
    </row>
    <row r="724" ht="15.75" customHeight="1">
      <c r="J724" s="24"/>
    </row>
    <row r="725" ht="15.75" customHeight="1">
      <c r="J725" s="24"/>
    </row>
    <row r="726" ht="15.75" customHeight="1">
      <c r="J726" s="24"/>
    </row>
    <row r="727" ht="15.75" customHeight="1">
      <c r="J727" s="24"/>
    </row>
    <row r="728" ht="15.75" customHeight="1">
      <c r="J728" s="24"/>
    </row>
    <row r="729" ht="15.75" customHeight="1">
      <c r="J729" s="24"/>
    </row>
    <row r="730" ht="15.75" customHeight="1">
      <c r="J730" s="24"/>
    </row>
    <row r="731" ht="15.75" customHeight="1">
      <c r="J731" s="24"/>
    </row>
    <row r="732" ht="15.75" customHeight="1">
      <c r="J732" s="24"/>
    </row>
    <row r="733" ht="15.75" customHeight="1">
      <c r="J733" s="24"/>
    </row>
    <row r="734" ht="15.75" customHeight="1">
      <c r="J734" s="24"/>
    </row>
    <row r="735" ht="15.75" customHeight="1">
      <c r="J735" s="24"/>
    </row>
    <row r="736" ht="15.75" customHeight="1">
      <c r="J736" s="24"/>
    </row>
    <row r="737" ht="15.75" customHeight="1">
      <c r="J737" s="24"/>
    </row>
    <row r="738" ht="15.75" customHeight="1">
      <c r="J738" s="24"/>
    </row>
    <row r="739" ht="15.75" customHeight="1">
      <c r="J739" s="24"/>
    </row>
    <row r="740" ht="15.75" customHeight="1">
      <c r="J740" s="24"/>
    </row>
    <row r="741" ht="15.75" customHeight="1">
      <c r="J741" s="24"/>
    </row>
    <row r="742" ht="15.75" customHeight="1">
      <c r="J742" s="24"/>
    </row>
    <row r="743" ht="15.75" customHeight="1">
      <c r="J743" s="24"/>
    </row>
    <row r="744" ht="15.75" customHeight="1">
      <c r="J744" s="24"/>
    </row>
    <row r="745" ht="15.75" customHeight="1">
      <c r="J745" s="24"/>
    </row>
    <row r="746" ht="15.75" customHeight="1">
      <c r="J746" s="24"/>
    </row>
    <row r="747" ht="15.75" customHeight="1">
      <c r="J747" s="24"/>
    </row>
    <row r="748" ht="15.75" customHeight="1">
      <c r="J748" s="24"/>
    </row>
    <row r="749" ht="15.75" customHeight="1">
      <c r="J749" s="24"/>
    </row>
    <row r="750" ht="15.75" customHeight="1">
      <c r="J750" s="24"/>
    </row>
    <row r="751" ht="15.75" customHeight="1">
      <c r="J751" s="24"/>
    </row>
    <row r="752" ht="15.75" customHeight="1">
      <c r="J752" s="24"/>
    </row>
    <row r="753" ht="15.75" customHeight="1">
      <c r="J753" s="24"/>
    </row>
    <row r="754" ht="15.75" customHeight="1">
      <c r="J754" s="24"/>
    </row>
    <row r="755" ht="15.75" customHeight="1">
      <c r="J755" s="24"/>
    </row>
    <row r="756" ht="15.75" customHeight="1">
      <c r="J756" s="24"/>
    </row>
    <row r="757" ht="15.75" customHeight="1">
      <c r="J757" s="24"/>
    </row>
    <row r="758" ht="15.75" customHeight="1">
      <c r="J758" s="24"/>
    </row>
    <row r="759" ht="15.75" customHeight="1">
      <c r="J759" s="24"/>
    </row>
    <row r="760" ht="15.75" customHeight="1">
      <c r="J760" s="24"/>
    </row>
    <row r="761" ht="15.75" customHeight="1">
      <c r="J761" s="24"/>
    </row>
    <row r="762" ht="15.75" customHeight="1">
      <c r="J762" s="24"/>
    </row>
    <row r="763" ht="15.75" customHeight="1">
      <c r="J763" s="24"/>
    </row>
    <row r="764" ht="15.75" customHeight="1">
      <c r="J764" s="24"/>
    </row>
    <row r="765" ht="15.75" customHeight="1">
      <c r="J765" s="24"/>
    </row>
    <row r="766" ht="15.75" customHeight="1">
      <c r="J766" s="24"/>
    </row>
    <row r="767" ht="15.75" customHeight="1">
      <c r="J767" s="24"/>
    </row>
    <row r="768" ht="15.75" customHeight="1">
      <c r="J768" s="24"/>
    </row>
    <row r="769" ht="15.75" customHeight="1">
      <c r="J769" s="24"/>
    </row>
    <row r="770" ht="15.75" customHeight="1">
      <c r="J770" s="24"/>
    </row>
    <row r="771" ht="15.75" customHeight="1">
      <c r="J771" s="24"/>
    </row>
    <row r="772" ht="15.75" customHeight="1">
      <c r="J772" s="24"/>
    </row>
    <row r="773" ht="15.75" customHeight="1">
      <c r="J773" s="24"/>
    </row>
    <row r="774" ht="15.75" customHeight="1">
      <c r="J774" s="24"/>
    </row>
    <row r="775" ht="15.75" customHeight="1">
      <c r="J775" s="24"/>
    </row>
    <row r="776" ht="15.75" customHeight="1">
      <c r="J776" s="24"/>
    </row>
    <row r="777" ht="15.75" customHeight="1">
      <c r="J777" s="24"/>
    </row>
    <row r="778" ht="15.75" customHeight="1">
      <c r="J778" s="24"/>
    </row>
    <row r="779" ht="15.75" customHeight="1">
      <c r="J779" s="24"/>
    </row>
    <row r="780" ht="15.75" customHeight="1">
      <c r="J780" s="24"/>
    </row>
    <row r="781" ht="15.75" customHeight="1">
      <c r="J781" s="24"/>
    </row>
    <row r="782" ht="15.75" customHeight="1">
      <c r="J782" s="24"/>
    </row>
    <row r="783" ht="15.75" customHeight="1">
      <c r="J783" s="24"/>
    </row>
    <row r="784" ht="15.75" customHeight="1">
      <c r="J784" s="24"/>
    </row>
    <row r="785" ht="15.75" customHeight="1">
      <c r="J785" s="24"/>
    </row>
    <row r="786" ht="15.75" customHeight="1">
      <c r="J786" s="24"/>
    </row>
    <row r="787" ht="15.75" customHeight="1">
      <c r="J787" s="24"/>
    </row>
    <row r="788" ht="15.75" customHeight="1">
      <c r="J788" s="24"/>
    </row>
    <row r="789" ht="15.75" customHeight="1">
      <c r="J789" s="24"/>
    </row>
    <row r="790" ht="15.75" customHeight="1">
      <c r="J790" s="24"/>
    </row>
    <row r="791" ht="15.75" customHeight="1">
      <c r="J791" s="24"/>
    </row>
    <row r="792" ht="15.75" customHeight="1">
      <c r="J792" s="24"/>
    </row>
    <row r="793" ht="15.75" customHeight="1">
      <c r="J793" s="24"/>
    </row>
    <row r="794" ht="15.75" customHeight="1">
      <c r="J794" s="24"/>
    </row>
    <row r="795" ht="15.75" customHeight="1">
      <c r="J795" s="24"/>
    </row>
    <row r="796" ht="15.75" customHeight="1">
      <c r="J796" s="24"/>
    </row>
    <row r="797" ht="15.75" customHeight="1">
      <c r="J797" s="24"/>
    </row>
    <row r="798" ht="15.75" customHeight="1">
      <c r="J798" s="24"/>
    </row>
    <row r="799" ht="15.75" customHeight="1">
      <c r="J799" s="24"/>
    </row>
    <row r="800" ht="15.75" customHeight="1">
      <c r="J800" s="24"/>
    </row>
    <row r="801" ht="15.75" customHeight="1">
      <c r="J801" s="24"/>
    </row>
    <row r="802" ht="15.75" customHeight="1">
      <c r="J802" s="24"/>
    </row>
    <row r="803" ht="15.75" customHeight="1">
      <c r="J803" s="24"/>
    </row>
    <row r="804" ht="15.75" customHeight="1">
      <c r="J804" s="24"/>
    </row>
    <row r="805" ht="15.75" customHeight="1">
      <c r="J805" s="24"/>
    </row>
    <row r="806" ht="15.75" customHeight="1">
      <c r="J806" s="24"/>
    </row>
    <row r="807" ht="15.75" customHeight="1">
      <c r="J807" s="24"/>
    </row>
    <row r="808" ht="15.75" customHeight="1">
      <c r="J808" s="24"/>
    </row>
    <row r="809" ht="15.75" customHeight="1">
      <c r="J809" s="24"/>
    </row>
    <row r="810" ht="15.75" customHeight="1">
      <c r="J810" s="24"/>
    </row>
    <row r="811" ht="15.75" customHeight="1">
      <c r="J811" s="24"/>
    </row>
    <row r="812" ht="15.75" customHeight="1">
      <c r="J812" s="24"/>
    </row>
    <row r="813" ht="15.75" customHeight="1">
      <c r="J813" s="24"/>
    </row>
    <row r="814" ht="15.75" customHeight="1">
      <c r="J814" s="24"/>
    </row>
    <row r="815" ht="15.75" customHeight="1">
      <c r="J815" s="24"/>
    </row>
    <row r="816" ht="15.75" customHeight="1">
      <c r="J816" s="24"/>
    </row>
    <row r="817" ht="15.75" customHeight="1">
      <c r="J817" s="24"/>
    </row>
    <row r="818" ht="15.75" customHeight="1">
      <c r="J818" s="24"/>
    </row>
    <row r="819" ht="15.75" customHeight="1">
      <c r="J819" s="24"/>
    </row>
    <row r="820" ht="15.75" customHeight="1">
      <c r="J820" s="24"/>
    </row>
    <row r="821" ht="15.75" customHeight="1">
      <c r="J821" s="24"/>
    </row>
    <row r="822" ht="15.75" customHeight="1">
      <c r="J822" s="24"/>
    </row>
    <row r="823" ht="15.75" customHeight="1">
      <c r="J823" s="24"/>
    </row>
    <row r="824" ht="15.75" customHeight="1">
      <c r="J824" s="24"/>
    </row>
    <row r="825" ht="15.75" customHeight="1">
      <c r="J825" s="24"/>
    </row>
    <row r="826" ht="15.75" customHeight="1">
      <c r="J826" s="24"/>
    </row>
    <row r="827" ht="15.75" customHeight="1">
      <c r="J827" s="24"/>
    </row>
    <row r="828" ht="15.75" customHeight="1">
      <c r="J828" s="24"/>
    </row>
    <row r="829" ht="15.75" customHeight="1">
      <c r="J829" s="24"/>
    </row>
    <row r="830" ht="15.75" customHeight="1">
      <c r="J830" s="24"/>
    </row>
    <row r="831" ht="15.75" customHeight="1">
      <c r="J831" s="24"/>
    </row>
    <row r="832" ht="15.75" customHeight="1">
      <c r="J832" s="24"/>
    </row>
    <row r="833" ht="15.75" customHeight="1">
      <c r="J833" s="24"/>
    </row>
    <row r="834" ht="15.75" customHeight="1">
      <c r="J834" s="24"/>
    </row>
    <row r="835" ht="15.75" customHeight="1">
      <c r="J835" s="24"/>
    </row>
    <row r="836" ht="15.75" customHeight="1">
      <c r="J836" s="24"/>
    </row>
    <row r="837" ht="15.75" customHeight="1">
      <c r="J837" s="24"/>
    </row>
    <row r="838" ht="15.75" customHeight="1">
      <c r="J838" s="24"/>
    </row>
    <row r="839" ht="15.75" customHeight="1">
      <c r="J839" s="24"/>
    </row>
    <row r="840" ht="15.75" customHeight="1">
      <c r="J840" s="24"/>
    </row>
    <row r="841" ht="15.75" customHeight="1">
      <c r="J841" s="24"/>
    </row>
    <row r="842" ht="15.75" customHeight="1">
      <c r="J842" s="24"/>
    </row>
    <row r="843" ht="15.75" customHeight="1">
      <c r="J843" s="24"/>
    </row>
    <row r="844" ht="15.75" customHeight="1">
      <c r="J844" s="24"/>
    </row>
    <row r="845" ht="15.75" customHeight="1">
      <c r="J845" s="24"/>
    </row>
    <row r="846" ht="15.75" customHeight="1">
      <c r="J846" s="24"/>
    </row>
    <row r="847" ht="15.75" customHeight="1">
      <c r="J847" s="24"/>
    </row>
    <row r="848" ht="15.75" customHeight="1">
      <c r="J848" s="24"/>
    </row>
    <row r="849" ht="15.75" customHeight="1">
      <c r="J849" s="24"/>
    </row>
    <row r="850" ht="15.75" customHeight="1">
      <c r="J850" s="24"/>
    </row>
    <row r="851" ht="15.75" customHeight="1">
      <c r="J851" s="24"/>
    </row>
    <row r="852" ht="15.75" customHeight="1">
      <c r="J852" s="24"/>
    </row>
    <row r="853" ht="15.75" customHeight="1">
      <c r="J853" s="24"/>
    </row>
    <row r="854" ht="15.75" customHeight="1">
      <c r="J854" s="24"/>
    </row>
    <row r="855" ht="15.75" customHeight="1">
      <c r="J855" s="24"/>
    </row>
    <row r="856" ht="15.75" customHeight="1">
      <c r="J856" s="24"/>
    </row>
    <row r="857" ht="15.75" customHeight="1">
      <c r="J857" s="24"/>
    </row>
    <row r="858" ht="15.75" customHeight="1">
      <c r="J858" s="24"/>
    </row>
    <row r="859" ht="15.75" customHeight="1">
      <c r="J859" s="24"/>
    </row>
    <row r="860" ht="15.75" customHeight="1">
      <c r="J860" s="24"/>
    </row>
    <row r="861" ht="15.75" customHeight="1">
      <c r="J861" s="24"/>
    </row>
    <row r="862" ht="15.75" customHeight="1">
      <c r="J862" s="24"/>
    </row>
    <row r="863" ht="15.75" customHeight="1">
      <c r="J863" s="24"/>
    </row>
    <row r="864" ht="15.75" customHeight="1">
      <c r="J864" s="24"/>
    </row>
    <row r="865" ht="15.75" customHeight="1">
      <c r="J865" s="24"/>
    </row>
    <row r="866" ht="15.75" customHeight="1">
      <c r="J866" s="24"/>
    </row>
    <row r="867" ht="15.75" customHeight="1">
      <c r="J867" s="24"/>
    </row>
    <row r="868" ht="15.75" customHeight="1">
      <c r="J868" s="24"/>
    </row>
    <row r="869" ht="15.75" customHeight="1">
      <c r="J869" s="24"/>
    </row>
    <row r="870" ht="15.75" customHeight="1">
      <c r="J870" s="24"/>
    </row>
    <row r="871" ht="15.75" customHeight="1">
      <c r="J871" s="24"/>
    </row>
    <row r="872" ht="15.75" customHeight="1">
      <c r="J872" s="24"/>
    </row>
    <row r="873" ht="15.75" customHeight="1">
      <c r="J873" s="24"/>
    </row>
    <row r="874" ht="15.75" customHeight="1">
      <c r="J874" s="24"/>
    </row>
    <row r="875" ht="15.75" customHeight="1">
      <c r="J875" s="24"/>
    </row>
    <row r="876" ht="15.75" customHeight="1">
      <c r="J876" s="24"/>
    </row>
    <row r="877" ht="15.75" customHeight="1">
      <c r="J877" s="24"/>
    </row>
    <row r="878" ht="15.75" customHeight="1">
      <c r="J878" s="24"/>
    </row>
    <row r="879" ht="15.75" customHeight="1">
      <c r="J879" s="24"/>
    </row>
    <row r="880" ht="15.75" customHeight="1">
      <c r="J880" s="24"/>
    </row>
    <row r="881" ht="15.75" customHeight="1">
      <c r="J881" s="24"/>
    </row>
    <row r="882" ht="15.75" customHeight="1">
      <c r="J882" s="24"/>
    </row>
    <row r="883" ht="15.75" customHeight="1">
      <c r="J883" s="24"/>
    </row>
    <row r="884" ht="15.75" customHeight="1">
      <c r="J884" s="24"/>
    </row>
    <row r="885" ht="15.75" customHeight="1">
      <c r="J885" s="24"/>
    </row>
    <row r="886" ht="15.75" customHeight="1">
      <c r="J886" s="24"/>
    </row>
    <row r="887" ht="15.75" customHeight="1">
      <c r="J887" s="24"/>
    </row>
    <row r="888" ht="15.75" customHeight="1">
      <c r="J888" s="24"/>
    </row>
    <row r="889" ht="15.75" customHeight="1">
      <c r="J889" s="24"/>
    </row>
    <row r="890" ht="15.75" customHeight="1">
      <c r="J890" s="24"/>
    </row>
    <row r="891" ht="15.75" customHeight="1">
      <c r="J891" s="24"/>
    </row>
    <row r="892" ht="15.75" customHeight="1">
      <c r="J892" s="24"/>
    </row>
    <row r="893" ht="15.75" customHeight="1">
      <c r="J893" s="24"/>
    </row>
    <row r="894" ht="15.75" customHeight="1">
      <c r="J894" s="24"/>
    </row>
    <row r="895" ht="15.75" customHeight="1">
      <c r="J895" s="24"/>
    </row>
    <row r="896" ht="15.75" customHeight="1">
      <c r="J896" s="24"/>
    </row>
    <row r="897" ht="15.75" customHeight="1">
      <c r="J897" s="24"/>
    </row>
    <row r="898" ht="15.75" customHeight="1">
      <c r="J898" s="24"/>
    </row>
    <row r="899" ht="15.75" customHeight="1">
      <c r="J899" s="24"/>
    </row>
    <row r="900" ht="15.75" customHeight="1">
      <c r="J900" s="24"/>
    </row>
    <row r="901" ht="15.75" customHeight="1">
      <c r="J901" s="24"/>
    </row>
    <row r="902" ht="15.75" customHeight="1">
      <c r="J902" s="24"/>
    </row>
    <row r="903" ht="15.75" customHeight="1">
      <c r="J903" s="24"/>
    </row>
    <row r="904" ht="15.75" customHeight="1">
      <c r="J904" s="24"/>
    </row>
    <row r="905" ht="15.75" customHeight="1">
      <c r="J905" s="24"/>
    </row>
    <row r="906" ht="15.75" customHeight="1">
      <c r="J906" s="24"/>
    </row>
    <row r="907" ht="15.75" customHeight="1">
      <c r="J907" s="24"/>
    </row>
    <row r="908" ht="15.75" customHeight="1">
      <c r="J908" s="24"/>
    </row>
    <row r="909" ht="15.75" customHeight="1">
      <c r="J909" s="24"/>
    </row>
    <row r="910" ht="15.75" customHeight="1">
      <c r="J910" s="24"/>
    </row>
    <row r="911" ht="15.75" customHeight="1">
      <c r="J911" s="24"/>
    </row>
    <row r="912" ht="15.75" customHeight="1">
      <c r="J912" s="24"/>
    </row>
    <row r="913" ht="15.75" customHeight="1">
      <c r="J913" s="24"/>
    </row>
    <row r="914" ht="15.75" customHeight="1">
      <c r="J914" s="24"/>
    </row>
    <row r="915" ht="15.75" customHeight="1">
      <c r="J915" s="24"/>
    </row>
    <row r="916" ht="15.75" customHeight="1">
      <c r="J916" s="24"/>
    </row>
    <row r="917" ht="15.75" customHeight="1">
      <c r="J917" s="24"/>
    </row>
    <row r="918" ht="15.75" customHeight="1">
      <c r="J918" s="24"/>
    </row>
    <row r="919" ht="15.75" customHeight="1">
      <c r="J919" s="24"/>
    </row>
    <row r="920" ht="15.75" customHeight="1">
      <c r="J920" s="24"/>
    </row>
    <row r="921" ht="15.75" customHeight="1">
      <c r="J921" s="24"/>
    </row>
    <row r="922" ht="15.75" customHeight="1">
      <c r="J922" s="24"/>
    </row>
    <row r="923" ht="15.75" customHeight="1">
      <c r="J923" s="24"/>
    </row>
    <row r="924" ht="15.75" customHeight="1">
      <c r="J924" s="24"/>
    </row>
    <row r="925" ht="15.75" customHeight="1">
      <c r="J925" s="24"/>
    </row>
    <row r="926" ht="15.75" customHeight="1">
      <c r="J926" s="24"/>
    </row>
    <row r="927" ht="15.75" customHeight="1">
      <c r="J927" s="24"/>
    </row>
    <row r="928" ht="15.75" customHeight="1">
      <c r="J928" s="24"/>
    </row>
    <row r="929" ht="15.75" customHeight="1">
      <c r="J929" s="24"/>
    </row>
    <row r="930" ht="15.75" customHeight="1">
      <c r="J930" s="24"/>
    </row>
    <row r="931" ht="15.75" customHeight="1">
      <c r="J931" s="24"/>
    </row>
    <row r="932" ht="15.75" customHeight="1">
      <c r="J932" s="24"/>
    </row>
    <row r="933" ht="15.75" customHeight="1">
      <c r="J933" s="24"/>
    </row>
    <row r="934" ht="15.75" customHeight="1">
      <c r="J934" s="24"/>
    </row>
    <row r="935" ht="15.75" customHeight="1">
      <c r="J935" s="24"/>
    </row>
    <row r="936" ht="15.75" customHeight="1">
      <c r="J936" s="24"/>
    </row>
    <row r="937" ht="15.75" customHeight="1">
      <c r="J937" s="24"/>
    </row>
    <row r="938" ht="15.75" customHeight="1">
      <c r="J938" s="24"/>
    </row>
    <row r="939" ht="15.75" customHeight="1">
      <c r="J939" s="24"/>
    </row>
    <row r="940" ht="15.75" customHeight="1">
      <c r="J940" s="24"/>
    </row>
    <row r="941" ht="15.75" customHeight="1">
      <c r="J941" s="24"/>
    </row>
    <row r="942" ht="15.75" customHeight="1">
      <c r="J942" s="24"/>
    </row>
    <row r="943" ht="15.75" customHeight="1">
      <c r="J943" s="24"/>
    </row>
    <row r="944" ht="15.75" customHeight="1">
      <c r="J944" s="24"/>
    </row>
    <row r="945" ht="15.75" customHeight="1">
      <c r="J945" s="24"/>
    </row>
    <row r="946" ht="15.75" customHeight="1">
      <c r="J946" s="24"/>
    </row>
    <row r="947" ht="15.75" customHeight="1">
      <c r="J947" s="24"/>
    </row>
    <row r="948" ht="15.75" customHeight="1">
      <c r="J948" s="24"/>
    </row>
    <row r="949" ht="15.75" customHeight="1">
      <c r="J949" s="24"/>
    </row>
    <row r="950" ht="15.75" customHeight="1">
      <c r="J950" s="24"/>
    </row>
    <row r="951" ht="15.75" customHeight="1">
      <c r="J951" s="24"/>
    </row>
    <row r="952" ht="15.75" customHeight="1">
      <c r="J952" s="24"/>
    </row>
    <row r="953" ht="15.75" customHeight="1">
      <c r="J953" s="24"/>
    </row>
    <row r="954" ht="15.75" customHeight="1">
      <c r="J954" s="24"/>
    </row>
    <row r="955" ht="15.75" customHeight="1">
      <c r="J955" s="24"/>
    </row>
    <row r="956" ht="15.75" customHeight="1">
      <c r="J956" s="24"/>
    </row>
    <row r="957" ht="15.75" customHeight="1">
      <c r="J957" s="24"/>
    </row>
    <row r="958" ht="15.75" customHeight="1">
      <c r="J958" s="24"/>
    </row>
    <row r="959" ht="15.75" customHeight="1">
      <c r="J959" s="24"/>
    </row>
    <row r="960" ht="15.75" customHeight="1">
      <c r="J960" s="24"/>
    </row>
    <row r="961" ht="15.75" customHeight="1">
      <c r="J961" s="24"/>
    </row>
    <row r="962" ht="15.75" customHeight="1">
      <c r="J962" s="24"/>
    </row>
    <row r="963" ht="15.75" customHeight="1">
      <c r="J963" s="24"/>
    </row>
    <row r="964" ht="15.75" customHeight="1">
      <c r="J964" s="24"/>
    </row>
    <row r="965" ht="15.75" customHeight="1">
      <c r="J965" s="24"/>
    </row>
    <row r="966" ht="15.75" customHeight="1">
      <c r="J966" s="24"/>
    </row>
    <row r="967" ht="15.75" customHeight="1">
      <c r="J967" s="24"/>
    </row>
    <row r="968" ht="15.75" customHeight="1">
      <c r="J968" s="24"/>
    </row>
    <row r="969" ht="15.75" customHeight="1">
      <c r="J969" s="24"/>
    </row>
    <row r="970" ht="15.75" customHeight="1">
      <c r="J970" s="24"/>
    </row>
    <row r="971" ht="15.75" customHeight="1">
      <c r="J971" s="24"/>
    </row>
    <row r="972" ht="15.75" customHeight="1">
      <c r="J972" s="24"/>
    </row>
    <row r="973" ht="15.75" customHeight="1">
      <c r="J973" s="24"/>
    </row>
    <row r="974" ht="15.75" customHeight="1">
      <c r="J974" s="24"/>
    </row>
    <row r="975" ht="15.75" customHeight="1">
      <c r="J975" s="24"/>
    </row>
    <row r="976" ht="15.75" customHeight="1">
      <c r="J976" s="24"/>
    </row>
    <row r="977" ht="15.75" customHeight="1">
      <c r="J977" s="24"/>
    </row>
    <row r="978" ht="15.75" customHeight="1">
      <c r="J978" s="24"/>
    </row>
    <row r="979" ht="15.75" customHeight="1">
      <c r="J979" s="24"/>
    </row>
    <row r="980" ht="15.75" customHeight="1">
      <c r="J980" s="24"/>
    </row>
    <row r="981" ht="15.75" customHeight="1">
      <c r="J981" s="24"/>
    </row>
    <row r="982" ht="15.75" customHeight="1">
      <c r="J982" s="24"/>
    </row>
    <row r="983" ht="15.75" customHeight="1">
      <c r="J983" s="24"/>
    </row>
    <row r="984" ht="15.75" customHeight="1">
      <c r="J984" s="24"/>
    </row>
    <row r="985" ht="15.75" customHeight="1">
      <c r="J985" s="24"/>
    </row>
    <row r="986" ht="15.75" customHeight="1">
      <c r="J986" s="24"/>
    </row>
    <row r="987" ht="15.75" customHeight="1">
      <c r="J987" s="24"/>
    </row>
    <row r="988" ht="15.75" customHeight="1">
      <c r="J988" s="24"/>
    </row>
    <row r="989" ht="15.75" customHeight="1">
      <c r="J989" s="24"/>
    </row>
    <row r="990" ht="15.75" customHeight="1">
      <c r="J990" s="24"/>
    </row>
    <row r="991" ht="15.75" customHeight="1">
      <c r="J991" s="24"/>
    </row>
    <row r="992" ht="15.75" customHeight="1">
      <c r="J992" s="24"/>
    </row>
    <row r="993" ht="15.75" customHeight="1">
      <c r="J993" s="24"/>
    </row>
    <row r="994" ht="15.75" customHeight="1">
      <c r="J994" s="24"/>
    </row>
    <row r="995" ht="15.75" customHeight="1">
      <c r="J995" s="24"/>
    </row>
    <row r="996" ht="15.75" customHeight="1">
      <c r="J996" s="24"/>
    </row>
    <row r="997" ht="15.75" customHeight="1">
      <c r="J997" s="24"/>
    </row>
    <row r="998" ht="15.75" customHeight="1">
      <c r="J998" s="24"/>
    </row>
  </sheetData>
  <conditionalFormatting sqref="E1:E998">
    <cfRule type="cellIs" dxfId="4" priority="1" operator="between">
      <formula>-10</formula>
      <formula>0</formula>
    </cfRule>
  </conditionalFormatting>
  <conditionalFormatting sqref="E1:E998">
    <cfRule type="cellIs" dxfId="5" priority="2" operator="between">
      <formula>-300</formula>
      <formula>-10</formula>
    </cfRule>
  </conditionalFormatting>
  <conditionalFormatting sqref="E1:E998">
    <cfRule type="cellIs" dxfId="6" priority="3" operator="between">
      <formula>0</formula>
      <formula>50</formula>
    </cfRule>
  </conditionalFormatting>
  <conditionalFormatting sqref="E1:E998">
    <cfRule type="cellIs" dxfId="7" priority="4" operator="between">
      <formula>50</formula>
      <formula>100</formula>
    </cfRule>
  </conditionalFormatting>
  <conditionalFormatting sqref="E1:E998">
    <cfRule type="cellIs" dxfId="8" priority="5" operator="between">
      <formula>100</formula>
      <formula>200</formula>
    </cfRule>
  </conditionalFormatting>
  <conditionalFormatting sqref="E1:E998">
    <cfRule type="cellIs" dxfId="9" priority="6" operator="between">
      <formula>200</formula>
      <formula>500</formula>
    </cfRule>
  </conditionalFormatting>
  <dataValidations>
    <dataValidation type="custom" allowBlank="1" showDropDown="1" sqref="E2:K29 E30 H30:I30 E31:K159">
      <formula1>AND(ISNUMBER(E2),(NOT(OR(NOT(ISERROR(DATEVALUE(E2))), AND(ISNUMBER(E2), LEFT(CELL("format", E2))="D")))))</formula1>
    </dataValidation>
    <dataValidation type="custom" allowBlank="1" showDropDown="1" sqref="N2:N29 N31:N159">
      <formula1>OR(TIMEVALUE(TEXT(N2, "hh:mm:ss"))=N2, AND(ISNUMBER(N2), LEFT(CELL("format", N2))="D"))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5.75" customHeight="1">
      <c r="A1" s="25" t="s">
        <v>226</v>
      </c>
      <c r="B1" s="25" t="s">
        <v>227</v>
      </c>
      <c r="C1" s="25" t="s">
        <v>228</v>
      </c>
      <c r="D1" s="25" t="s">
        <v>229</v>
      </c>
      <c r="E1" s="26" t="s">
        <v>230</v>
      </c>
      <c r="F1" s="25" t="s">
        <v>231</v>
      </c>
    </row>
    <row r="2" ht="15.75" customHeight="1">
      <c r="A2" s="27" t="s">
        <v>81</v>
      </c>
      <c r="B2" s="28"/>
      <c r="C2" s="29">
        <f>IFERROR(AVERAGEIF(Master!C:C, A2, Master!E:E), "")</f>
        <v>50.235</v>
      </c>
      <c r="D2" s="30">
        <f>IFERROR(AVERAGEIF(Master!C:C, A2, Master!D:D), "")</f>
        <v>10.5</v>
      </c>
      <c r="E2" s="29">
        <f>IFERROR(SUMIF(Master!C:C, A2, Master!E:E), "")</f>
        <v>100.47</v>
      </c>
      <c r="F2" s="31">
        <f>IFERROR(SUMIF(Master!C:C, A2, Master!D:D), "")</f>
        <v>21</v>
      </c>
    </row>
    <row r="3" ht="15.75" customHeight="1">
      <c r="A3" s="27" t="s">
        <v>134</v>
      </c>
      <c r="B3" s="28"/>
      <c r="C3" s="29">
        <f>IFERROR(AVERAGEIF(Master!C:C, A3, Master!E:E), "")</f>
        <v>52.50846154</v>
      </c>
      <c r="D3" s="30">
        <f>IFERROR(AVERAGEIF(Master!C:C, A3, Master!D:D), "")</f>
        <v>12</v>
      </c>
      <c r="E3" s="29">
        <f>IFERROR(SUMIF(Master!C:C, A3, Master!E:E), "")</f>
        <v>52.50846154</v>
      </c>
      <c r="F3" s="31">
        <f>IFERROR(SUMIF(Master!C:C, A3, Master!D:D), "")</f>
        <v>12</v>
      </c>
    </row>
    <row r="4" ht="15.75" customHeight="1">
      <c r="A4" s="27" t="s">
        <v>65</v>
      </c>
      <c r="B4" s="28"/>
      <c r="C4" s="29">
        <f>IFERROR(AVERAGEIF(Master!C:C, A4, Master!E:E), "")</f>
        <v>95.23</v>
      </c>
      <c r="D4" s="30">
        <f>IFERROR(AVERAGEIF(Master!C:C, A4, Master!D:D), "")</f>
        <v>15</v>
      </c>
      <c r="E4" s="29">
        <f>IFERROR(SUMIF(Master!C:C, A4, Master!E:E), "")</f>
        <v>285.69</v>
      </c>
      <c r="F4" s="31">
        <f>IFERROR(SUMIF(Master!C:C, A4, Master!D:D), "")</f>
        <v>45</v>
      </c>
    </row>
    <row r="5" ht="15.75" customHeight="1">
      <c r="A5" s="27" t="s">
        <v>174</v>
      </c>
      <c r="B5" s="28"/>
      <c r="C5" s="29">
        <f>IFERROR(AVERAGEIF(Master!C:C, A5, Master!E:E), "")</f>
        <v>132.2733333</v>
      </c>
      <c r="D5" s="30">
        <f>IFERROR(AVERAGEIF(Master!C:C, A5, Master!D:D), "")</f>
        <v>19</v>
      </c>
      <c r="E5" s="29">
        <f>IFERROR(SUMIF(Master!C:C, A5, Master!E:E), "")</f>
        <v>396.82</v>
      </c>
      <c r="F5" s="31">
        <f>IFERROR(SUMIF(Master!C:C, A5, Master!D:D), "")</f>
        <v>57</v>
      </c>
    </row>
    <row r="6" ht="15.75" customHeight="1">
      <c r="A6" s="27" t="s">
        <v>41</v>
      </c>
      <c r="B6" s="28"/>
      <c r="C6" s="29">
        <f>IFERROR(AVERAGEIF(Master!C:C, A6, Master!E:E), "")</f>
        <v>66.53859354</v>
      </c>
      <c r="D6" s="30">
        <f>IFERROR(AVERAGEIF(Master!C:C, A6, Master!D:D), "")</f>
        <v>16</v>
      </c>
      <c r="E6" s="29">
        <f>IFERROR(SUMIF(Master!C:C, A6, Master!E:E), "")</f>
        <v>1730.003432</v>
      </c>
      <c r="F6" s="31">
        <f>IFERROR(SUMIF(Master!C:C, A6, Master!D:D), "")</f>
        <v>416</v>
      </c>
    </row>
    <row r="7" ht="15.75" customHeight="1">
      <c r="A7" s="32" t="s">
        <v>23</v>
      </c>
      <c r="B7" s="28"/>
      <c r="C7" s="29">
        <f>IFERROR(AVERAGEIF(Master!C:C, A7, Master!E:E), "")</f>
        <v>61.00909402</v>
      </c>
      <c r="D7" s="30">
        <f>IFERROR(AVERAGEIF(Master!C:C, A7, Master!D:D), "")</f>
        <v>14.55</v>
      </c>
      <c r="E7" s="29">
        <f>IFERROR(SUMIF(Master!C:C, A7, Master!E:E), "")</f>
        <v>1220.18188</v>
      </c>
      <c r="F7" s="31">
        <f>IFERROR(SUMIF(Master!C:C, A7, Master!D:D), "")</f>
        <v>291</v>
      </c>
    </row>
    <row r="8" ht="15.75" customHeight="1">
      <c r="A8" s="27" t="s">
        <v>16</v>
      </c>
      <c r="B8" s="28"/>
      <c r="C8" s="29">
        <f>IFERROR(AVERAGEIF(Master!C:C, A8, Master!E:E), "")</f>
        <v>60.50332035</v>
      </c>
      <c r="D8" s="30">
        <f>IFERROR(AVERAGEIF(Master!C:C, A8, Master!D:D), "")</f>
        <v>16.95145631</v>
      </c>
      <c r="E8" s="29">
        <f>IFERROR(SUMIF(Master!C:C, A8, Master!E:E), "")</f>
        <v>6231.841996</v>
      </c>
      <c r="F8" s="31">
        <f>IFERROR(SUMIF(Master!C:C, A8, Master!D:D), "")</f>
        <v>1746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5.75" customHeight="1">
      <c r="A1" s="25" t="s">
        <v>232</v>
      </c>
      <c r="B1" s="33" t="s">
        <v>233</v>
      </c>
      <c r="C1" s="33" t="s">
        <v>234</v>
      </c>
      <c r="D1" s="34" t="s">
        <v>235</v>
      </c>
      <c r="E1" s="25"/>
      <c r="F1" s="25" t="s">
        <v>232</v>
      </c>
      <c r="G1" s="33" t="s">
        <v>233</v>
      </c>
      <c r="H1" s="25"/>
      <c r="I1" s="25" t="s">
        <v>232</v>
      </c>
      <c r="J1" s="33" t="s">
        <v>233</v>
      </c>
      <c r="K1" s="33" t="s">
        <v>234</v>
      </c>
    </row>
    <row r="2" ht="15.75" customHeight="1">
      <c r="A2" s="25" t="s">
        <v>28</v>
      </c>
      <c r="B2" s="23">
        <f>SUMIF(Master!B:B, A2, Master!E:E)</f>
        <v>-25.73116505</v>
      </c>
      <c r="C2" s="29">
        <f t="shared" ref="C2:C41" si="1">B2/D2</f>
        <v>-25.73116505</v>
      </c>
      <c r="D2" s="31">
        <f>COUNTIF(Master!B:B, A2)</f>
        <v>1</v>
      </c>
      <c r="F2" s="26" t="str">
        <f t="array" ref="F2:G999">SORT(A2:B999,2,TRUE())</f>
        <v>Isabel</v>
      </c>
      <c r="G2" s="23">
        <v>-26.48029126213595</v>
      </c>
      <c r="H2" s="23"/>
      <c r="I2" s="26" t="str">
        <f t="array" ref="I2:K999">SORT(A2:C999,3,TRUE())</f>
        <v>Kris</v>
      </c>
      <c r="J2" s="29">
        <v>-25.73116504854369</v>
      </c>
      <c r="K2" s="35">
        <v>-25.73116504854369</v>
      </c>
    </row>
    <row r="3" ht="15.75" customHeight="1">
      <c r="A3" s="25" t="s">
        <v>19</v>
      </c>
      <c r="B3" s="23">
        <f>SUMIF(Master!B:B, A3, Master!E:E)</f>
        <v>-26.48029126</v>
      </c>
      <c r="C3" s="29">
        <f t="shared" si="1"/>
        <v>-4.413381877</v>
      </c>
      <c r="D3" s="31">
        <f>COUNTIF(Master!B:B, A3)</f>
        <v>6</v>
      </c>
      <c r="F3" s="26" t="s">
        <v>28</v>
      </c>
      <c r="G3" s="23">
        <v>-25.73116504854369</v>
      </c>
      <c r="H3" s="23"/>
      <c r="I3" s="26" t="s">
        <v>38</v>
      </c>
      <c r="J3" s="29">
        <v>-16.03893203883495</v>
      </c>
      <c r="K3" s="35">
        <v>-16.03893203883495</v>
      </c>
    </row>
    <row r="4" ht="15.75" customHeight="1">
      <c r="A4" s="25" t="s">
        <v>38</v>
      </c>
      <c r="B4" s="23">
        <f>SUMIF(Master!B:B, A4, Master!E:E)</f>
        <v>-16.03893204</v>
      </c>
      <c r="C4" s="29">
        <f t="shared" si="1"/>
        <v>-16.03893204</v>
      </c>
      <c r="D4" s="31">
        <f>COUNTIF(Master!B:B, A4)</f>
        <v>1</v>
      </c>
      <c r="F4" s="26" t="s">
        <v>38</v>
      </c>
      <c r="G4" s="23">
        <v>-16.03893203883495</v>
      </c>
      <c r="H4" s="23"/>
      <c r="I4" s="26" t="s">
        <v>19</v>
      </c>
      <c r="J4" s="29">
        <v>-26.48029126213595</v>
      </c>
      <c r="K4" s="35">
        <v>-4.413381877022658</v>
      </c>
    </row>
    <row r="5" ht="15.75" customHeight="1">
      <c r="A5" s="25" t="s">
        <v>51</v>
      </c>
      <c r="B5" s="23">
        <f>SUMIF(Master!B:B, A5, Master!E:E)</f>
        <v>-7.037864078</v>
      </c>
      <c r="C5" s="29">
        <f t="shared" si="1"/>
        <v>-3.518932039</v>
      </c>
      <c r="D5" s="31">
        <f>COUNTIF(Master!B:B, A5)</f>
        <v>2</v>
      </c>
      <c r="F5" s="26" t="s">
        <v>51</v>
      </c>
      <c r="G5" s="23">
        <v>-7.037864077669912</v>
      </c>
      <c r="H5" s="23"/>
      <c r="I5" s="26" t="s">
        <v>51</v>
      </c>
      <c r="J5" s="29">
        <v>-7.037864077669912</v>
      </c>
      <c r="K5" s="35">
        <v>-3.518932038834956</v>
      </c>
    </row>
    <row r="6" ht="15.75" customHeight="1">
      <c r="A6" s="25" t="s">
        <v>49</v>
      </c>
      <c r="B6" s="23">
        <f>SUMIF(Master!B:B, A6, Master!E:E)</f>
        <v>-1.036796117</v>
      </c>
      <c r="C6" s="29">
        <f t="shared" si="1"/>
        <v>-0.3455987055</v>
      </c>
      <c r="D6" s="31">
        <f>COUNTIF(Master!B:B, A6)</f>
        <v>3</v>
      </c>
      <c r="F6" s="26" t="s">
        <v>49</v>
      </c>
      <c r="G6" s="23">
        <v>-1.0367961165048598</v>
      </c>
      <c r="H6" s="23"/>
      <c r="I6" s="26" t="s">
        <v>49</v>
      </c>
      <c r="J6" s="29">
        <v>-1.0367961165048598</v>
      </c>
      <c r="K6" s="35">
        <v>-0.3455987055016199</v>
      </c>
    </row>
    <row r="7" ht="15.75" customHeight="1">
      <c r="A7" s="25" t="s">
        <v>92</v>
      </c>
      <c r="B7" s="23">
        <f>SUMIF(Master!B:B, A7, Master!E:E)</f>
        <v>20.63953846</v>
      </c>
      <c r="C7" s="29">
        <f t="shared" si="1"/>
        <v>20.63953846</v>
      </c>
      <c r="D7" s="31">
        <f>COUNTIF(Master!B:B, A7)</f>
        <v>1</v>
      </c>
      <c r="F7" s="26" t="s">
        <v>22</v>
      </c>
      <c r="G7" s="23">
        <v>5.398615384615354</v>
      </c>
      <c r="H7" s="23"/>
      <c r="I7" s="26" t="s">
        <v>22</v>
      </c>
      <c r="J7" s="29">
        <v>5.398615384615354</v>
      </c>
      <c r="K7" s="35">
        <v>1.7995384615384513</v>
      </c>
    </row>
    <row r="8" ht="15.75" customHeight="1">
      <c r="A8" s="25" t="s">
        <v>43</v>
      </c>
      <c r="B8" s="23">
        <f>SUMIF(Master!B:B, A8, Master!E:E)</f>
        <v>37.19543689</v>
      </c>
      <c r="C8" s="29">
        <f t="shared" si="1"/>
        <v>12.39847896</v>
      </c>
      <c r="D8" s="31">
        <f>COUNTIF(Master!B:B, A8)</f>
        <v>3</v>
      </c>
      <c r="F8" s="26" t="s">
        <v>92</v>
      </c>
      <c r="G8" s="23">
        <v>20.639538461538464</v>
      </c>
      <c r="H8" s="23"/>
      <c r="I8" s="26" t="s">
        <v>43</v>
      </c>
      <c r="J8" s="29">
        <v>37.195436893203876</v>
      </c>
      <c r="K8" s="35">
        <v>12.398478964401292</v>
      </c>
    </row>
    <row r="9" ht="15.75" customHeight="1">
      <c r="A9" s="25" t="s">
        <v>122</v>
      </c>
      <c r="B9" s="23">
        <f>SUMIF(Master!B:B, A9, Master!E:E)</f>
        <v>44.47106796</v>
      </c>
      <c r="C9" s="29">
        <f t="shared" si="1"/>
        <v>44.47106796</v>
      </c>
      <c r="D9" s="31">
        <f>COUNTIF(Master!B:B, A9)</f>
        <v>1</v>
      </c>
      <c r="F9" s="26" t="s">
        <v>43</v>
      </c>
      <c r="G9" s="23">
        <v>37.195436893203876</v>
      </c>
      <c r="H9" s="23"/>
      <c r="I9" s="26" t="s">
        <v>92</v>
      </c>
      <c r="J9" s="29">
        <v>20.639538461538464</v>
      </c>
      <c r="K9" s="35">
        <v>20.639538461538464</v>
      </c>
    </row>
    <row r="10" ht="15.75" customHeight="1">
      <c r="A10" s="25" t="s">
        <v>84</v>
      </c>
      <c r="B10" s="23">
        <f>SUMIF(Master!B:B, A10, Master!E:E)</f>
        <v>50.06060642</v>
      </c>
      <c r="C10" s="29">
        <f t="shared" si="1"/>
        <v>25.03030321</v>
      </c>
      <c r="D10" s="31">
        <f>COUNTIF(Master!B:B, A10)</f>
        <v>2</v>
      </c>
      <c r="F10" s="26" t="s">
        <v>122</v>
      </c>
      <c r="G10" s="23">
        <v>44.47106796116505</v>
      </c>
      <c r="H10" s="23"/>
      <c r="I10" s="26" t="s">
        <v>26</v>
      </c>
      <c r="J10" s="29">
        <v>62.60320388349515</v>
      </c>
      <c r="K10" s="35">
        <v>20.867734627831716</v>
      </c>
    </row>
    <row r="11" ht="15.75" customHeight="1">
      <c r="A11" s="25" t="s">
        <v>147</v>
      </c>
      <c r="B11" s="23">
        <f>SUMIF(Master!B:B, A11, Master!E:E)</f>
        <v>64.78869822</v>
      </c>
      <c r="C11" s="29">
        <f t="shared" si="1"/>
        <v>64.78869822</v>
      </c>
      <c r="D11" s="31">
        <f>COUNTIF(Master!B:B, A11)</f>
        <v>1</v>
      </c>
      <c r="F11" s="26" t="s">
        <v>84</v>
      </c>
      <c r="G11" s="23">
        <v>50.060606422703515</v>
      </c>
      <c r="H11" s="23"/>
      <c r="I11" s="26" t="s">
        <v>84</v>
      </c>
      <c r="J11" s="29">
        <v>50.060606422703515</v>
      </c>
      <c r="K11" s="35">
        <v>25.030303211351757</v>
      </c>
    </row>
    <row r="12" ht="15.75" customHeight="1">
      <c r="A12" s="25" t="s">
        <v>73</v>
      </c>
      <c r="B12" s="23">
        <f>SUMIF(Master!B:B, A12, Master!E:E)</f>
        <v>54.24213592</v>
      </c>
      <c r="C12" s="29">
        <f t="shared" si="1"/>
        <v>27.12106796</v>
      </c>
      <c r="D12" s="31">
        <f>COUNTIF(Master!B:B, A12)</f>
        <v>2</v>
      </c>
      <c r="F12" s="26" t="s">
        <v>73</v>
      </c>
      <c r="G12" s="23">
        <v>54.242135922330085</v>
      </c>
      <c r="H12" s="23"/>
      <c r="I12" s="26" t="s">
        <v>73</v>
      </c>
      <c r="J12" s="29">
        <v>54.242135922330085</v>
      </c>
      <c r="K12" s="35">
        <v>27.121067961165043</v>
      </c>
    </row>
    <row r="13" ht="15.75" customHeight="1">
      <c r="A13" s="25" t="s">
        <v>22</v>
      </c>
      <c r="B13" s="23">
        <f>SUMIF(Master!B:B, A13, Master!E:E)</f>
        <v>5.398615385</v>
      </c>
      <c r="C13" s="29">
        <f t="shared" si="1"/>
        <v>1.799538462</v>
      </c>
      <c r="D13" s="31">
        <f>COUNTIF(Master!B:B, A13)</f>
        <v>3</v>
      </c>
      <c r="F13" s="26" t="s">
        <v>26</v>
      </c>
      <c r="G13" s="23">
        <v>62.60320388349515</v>
      </c>
      <c r="H13" s="23"/>
      <c r="I13" s="26" t="s">
        <v>40</v>
      </c>
      <c r="J13" s="29">
        <v>570.7542747170678</v>
      </c>
      <c r="K13" s="35">
        <v>35.67214216981674</v>
      </c>
    </row>
    <row r="14" ht="15.75" customHeight="1">
      <c r="A14" s="25" t="s">
        <v>26</v>
      </c>
      <c r="B14" s="23">
        <f>SUMIF(Master!B:B, A14, Master!E:E)</f>
        <v>62.60320388</v>
      </c>
      <c r="C14" s="29">
        <f t="shared" si="1"/>
        <v>20.86773463</v>
      </c>
      <c r="D14" s="31">
        <f>COUNTIF(Master!B:B, A14)</f>
        <v>3</v>
      </c>
      <c r="F14" s="26" t="s">
        <v>147</v>
      </c>
      <c r="G14" s="23">
        <v>64.78869822485207</v>
      </c>
      <c r="H14" s="23"/>
      <c r="I14" s="26" t="s">
        <v>15</v>
      </c>
      <c r="J14" s="29">
        <v>300.8248693054518</v>
      </c>
      <c r="K14" s="35">
        <v>42.97498132935026</v>
      </c>
    </row>
    <row r="15" ht="15.75" customHeight="1">
      <c r="A15" s="25" t="s">
        <v>124</v>
      </c>
      <c r="B15" s="23">
        <f>SUMIF(Master!B:B, A15, Master!E:E)</f>
        <v>106.0421359</v>
      </c>
      <c r="C15" s="29">
        <f t="shared" si="1"/>
        <v>53.02106796</v>
      </c>
      <c r="D15" s="31">
        <f>COUNTIF(Master!B:B, A15)</f>
        <v>2</v>
      </c>
      <c r="F15" s="26" t="s">
        <v>124</v>
      </c>
      <c r="G15" s="23">
        <v>106.04213592233009</v>
      </c>
      <c r="H15" s="23"/>
      <c r="I15" s="26" t="s">
        <v>122</v>
      </c>
      <c r="J15" s="29">
        <v>44.47106796116505</v>
      </c>
      <c r="K15" s="35">
        <v>44.47106796116505</v>
      </c>
    </row>
    <row r="16" ht="15.75" customHeight="1">
      <c r="A16" s="25" t="s">
        <v>113</v>
      </c>
      <c r="B16" s="23">
        <f>SUMIF(Master!B:B, A16, Master!E:E)</f>
        <v>107.0673964</v>
      </c>
      <c r="C16" s="29">
        <f t="shared" si="1"/>
        <v>53.53369822</v>
      </c>
      <c r="D16" s="31">
        <f>COUNTIF(Master!B:B, A16)</f>
        <v>2</v>
      </c>
      <c r="F16" s="26" t="s">
        <v>113</v>
      </c>
      <c r="G16" s="23">
        <v>107.06739644970415</v>
      </c>
      <c r="H16" s="23"/>
      <c r="I16" s="26" t="s">
        <v>124</v>
      </c>
      <c r="J16" s="29">
        <v>106.04213592233009</v>
      </c>
      <c r="K16" s="35">
        <v>53.021067961165045</v>
      </c>
    </row>
    <row r="17" ht="15.75" customHeight="1">
      <c r="A17" s="25" t="s">
        <v>143</v>
      </c>
      <c r="B17" s="23">
        <f>SUMIF(Master!B:B, A17, Master!E:E)</f>
        <v>140.9421359</v>
      </c>
      <c r="C17" s="29">
        <f t="shared" si="1"/>
        <v>70.47106796</v>
      </c>
      <c r="D17" s="31">
        <f>COUNTIF(Master!B:B, A17)</f>
        <v>2</v>
      </c>
      <c r="F17" s="26" t="s">
        <v>143</v>
      </c>
      <c r="G17" s="23">
        <v>140.94213592233007</v>
      </c>
      <c r="H17" s="23"/>
      <c r="I17" s="26" t="s">
        <v>113</v>
      </c>
      <c r="J17" s="29">
        <v>107.06739644970415</v>
      </c>
      <c r="K17" s="35">
        <v>53.533698224852074</v>
      </c>
    </row>
    <row r="18" ht="15.75" customHeight="1">
      <c r="A18" s="25" t="s">
        <v>132</v>
      </c>
      <c r="B18" s="23">
        <f>SUMIF(Master!B:B, A18, Master!E:E)</f>
        <v>173.4154369</v>
      </c>
      <c r="C18" s="29">
        <f t="shared" si="1"/>
        <v>57.80514563</v>
      </c>
      <c r="D18" s="31">
        <f>COUNTIF(Master!B:B, A18)</f>
        <v>3</v>
      </c>
      <c r="F18" s="26" t="s">
        <v>132</v>
      </c>
      <c r="G18" s="23">
        <v>173.4154368932039</v>
      </c>
      <c r="H18" s="23"/>
      <c r="I18" s="26" t="s">
        <v>77</v>
      </c>
      <c r="J18" s="29">
        <v>338.28194174757283</v>
      </c>
      <c r="K18" s="35">
        <v>56.38032362459547</v>
      </c>
    </row>
    <row r="19" ht="15.75" customHeight="1">
      <c r="A19" s="25" t="s">
        <v>162</v>
      </c>
      <c r="B19" s="23">
        <f>SUMIF(Master!B:B, A19, Master!E:E)</f>
        <v>186.3427219</v>
      </c>
      <c r="C19" s="29">
        <f t="shared" si="1"/>
        <v>93.17136095</v>
      </c>
      <c r="D19" s="31">
        <f>COUNTIF(Master!B:B, A19)</f>
        <v>2</v>
      </c>
      <c r="F19" s="26" t="s">
        <v>162</v>
      </c>
      <c r="G19" s="23">
        <v>186.3427218934911</v>
      </c>
      <c r="H19" s="23"/>
      <c r="I19" s="26" t="s">
        <v>132</v>
      </c>
      <c r="J19" s="29">
        <v>173.4154368932039</v>
      </c>
      <c r="K19" s="35">
        <v>57.805145631067965</v>
      </c>
    </row>
    <row r="20" ht="15.75" customHeight="1">
      <c r="A20" s="25" t="s">
        <v>57</v>
      </c>
      <c r="B20" s="23">
        <f>SUMIF(Master!B:B, A20, Master!E:E)</f>
        <v>200.1632039</v>
      </c>
      <c r="C20" s="29">
        <f t="shared" si="1"/>
        <v>66.72106796</v>
      </c>
      <c r="D20" s="31">
        <f>COUNTIF(Master!B:B, A20)</f>
        <v>3</v>
      </c>
      <c r="F20" s="26" t="s">
        <v>57</v>
      </c>
      <c r="G20" s="23">
        <v>200.16320388349516</v>
      </c>
      <c r="H20" s="23"/>
      <c r="I20" s="26" t="s">
        <v>62</v>
      </c>
      <c r="J20" s="29">
        <v>239.25953237203424</v>
      </c>
      <c r="K20" s="35">
        <v>59.81488309300856</v>
      </c>
    </row>
    <row r="21" ht="15.75" customHeight="1">
      <c r="A21" s="25" t="s">
        <v>104</v>
      </c>
      <c r="B21" s="23">
        <f>SUMIF(Master!B:B, A21, Master!E:E)</f>
        <v>202.8986154</v>
      </c>
      <c r="C21" s="29">
        <f t="shared" si="1"/>
        <v>67.63287179</v>
      </c>
      <c r="D21" s="31">
        <f>COUNTIF(Master!B:B, A21)</f>
        <v>3</v>
      </c>
      <c r="F21" s="26" t="s">
        <v>104</v>
      </c>
      <c r="G21" s="23">
        <v>202.8986153846154</v>
      </c>
      <c r="H21" s="23"/>
      <c r="I21" s="26" t="s">
        <v>54</v>
      </c>
      <c r="J21" s="29">
        <v>570.4334936519791</v>
      </c>
      <c r="K21" s="35">
        <v>63.381499294664344</v>
      </c>
    </row>
    <row r="22" ht="15.75" customHeight="1">
      <c r="A22" s="25" t="s">
        <v>62</v>
      </c>
      <c r="B22" s="23">
        <f>SUMIF(Master!B:B, A22, Master!E:E)</f>
        <v>239.2595324</v>
      </c>
      <c r="C22" s="29">
        <f t="shared" si="1"/>
        <v>59.81488309</v>
      </c>
      <c r="D22" s="31">
        <f>COUNTIF(Master!B:B, A22)</f>
        <v>4</v>
      </c>
      <c r="F22" s="26" t="s">
        <v>62</v>
      </c>
      <c r="G22" s="23">
        <v>239.25953237203424</v>
      </c>
      <c r="H22" s="23"/>
      <c r="I22" s="26" t="s">
        <v>147</v>
      </c>
      <c r="J22" s="29">
        <v>64.78869822485207</v>
      </c>
      <c r="K22" s="35">
        <v>64.78869822485207</v>
      </c>
    </row>
    <row r="23" ht="15.75" customHeight="1">
      <c r="A23" s="25" t="s">
        <v>94</v>
      </c>
      <c r="B23" s="23">
        <f>SUMIF(Master!B:B, A23, Master!E:E)</f>
        <v>239.5786154</v>
      </c>
      <c r="C23" s="29">
        <f t="shared" si="1"/>
        <v>79.85953846</v>
      </c>
      <c r="D23" s="31">
        <f>COUNTIF(Master!B:B, A23)</f>
        <v>3</v>
      </c>
      <c r="F23" s="26" t="s">
        <v>94</v>
      </c>
      <c r="G23" s="23">
        <v>239.5786153846154</v>
      </c>
      <c r="H23" s="23"/>
      <c r="I23" s="26" t="s">
        <v>57</v>
      </c>
      <c r="J23" s="29">
        <v>200.16320388349516</v>
      </c>
      <c r="K23" s="35">
        <v>66.72106796116505</v>
      </c>
    </row>
    <row r="24" ht="15.75" customHeight="1">
      <c r="A24" s="25" t="s">
        <v>183</v>
      </c>
      <c r="B24" s="23">
        <f>SUMIF(Master!B:B, A24, Master!E:E)</f>
        <v>250.4886982</v>
      </c>
      <c r="C24" s="29">
        <f t="shared" si="1"/>
        <v>125.2443491</v>
      </c>
      <c r="D24" s="31">
        <f>COUNTIF(Master!B:B, A24)</f>
        <v>2</v>
      </c>
      <c r="F24" s="26" t="s">
        <v>183</v>
      </c>
      <c r="G24" s="23">
        <v>250.4886982248521</v>
      </c>
      <c r="H24" s="23"/>
      <c r="I24" s="26" t="s">
        <v>104</v>
      </c>
      <c r="J24" s="29">
        <v>202.8986153846154</v>
      </c>
      <c r="K24" s="35">
        <v>67.6328717948718</v>
      </c>
    </row>
    <row r="25" ht="15.75" customHeight="1">
      <c r="A25" s="25" t="s">
        <v>15</v>
      </c>
      <c r="B25" s="23">
        <f>SUMIF(Master!B:B, A25, Master!E:E)</f>
        <v>300.8248693</v>
      </c>
      <c r="C25" s="29">
        <f t="shared" si="1"/>
        <v>42.97498133</v>
      </c>
      <c r="D25" s="31">
        <f>COUNTIF(Master!B:B, A25)</f>
        <v>7</v>
      </c>
      <c r="F25" s="26" t="s">
        <v>15</v>
      </c>
      <c r="G25" s="23">
        <v>300.8248693054518</v>
      </c>
      <c r="H25" s="23"/>
      <c r="I25" s="26" t="s">
        <v>143</v>
      </c>
      <c r="J25" s="29">
        <v>140.94213592233007</v>
      </c>
      <c r="K25" s="35">
        <v>70.47106796116503</v>
      </c>
    </row>
    <row r="26" ht="15.75" customHeight="1">
      <c r="A26" s="25" t="s">
        <v>107</v>
      </c>
      <c r="B26" s="23">
        <f>SUMIF(Master!B:B, A26, Master!E:E)</f>
        <v>312.1781538</v>
      </c>
      <c r="C26" s="29">
        <f t="shared" si="1"/>
        <v>78.04453846</v>
      </c>
      <c r="D26" s="31">
        <f>COUNTIF(Master!B:B, A26)</f>
        <v>4</v>
      </c>
      <c r="F26" s="26" t="s">
        <v>107</v>
      </c>
      <c r="G26" s="23">
        <v>312.17815384615386</v>
      </c>
      <c r="H26" s="23"/>
      <c r="I26" s="26" t="s">
        <v>30</v>
      </c>
      <c r="J26" s="29">
        <v>809.6761165048542</v>
      </c>
      <c r="K26" s="35">
        <v>73.60691968225947</v>
      </c>
    </row>
    <row r="27" ht="15.75" customHeight="1">
      <c r="A27" s="25" t="s">
        <v>71</v>
      </c>
      <c r="B27" s="23">
        <f>SUMIF(Master!B:B, A27, Master!E:E)</f>
        <v>320.6142718</v>
      </c>
      <c r="C27" s="29">
        <f t="shared" si="1"/>
        <v>80.15356796</v>
      </c>
      <c r="D27" s="31">
        <f>COUNTIF(Master!B:B, A27)</f>
        <v>4</v>
      </c>
      <c r="F27" s="26" t="s">
        <v>212</v>
      </c>
      <c r="G27" s="23">
        <v>320.22739644970414</v>
      </c>
      <c r="H27" s="23"/>
      <c r="I27" s="26" t="s">
        <v>137</v>
      </c>
      <c r="J27" s="29">
        <v>460.31747572815533</v>
      </c>
      <c r="K27" s="35">
        <v>76.71957928802588</v>
      </c>
    </row>
    <row r="28" ht="15.75" customHeight="1">
      <c r="A28" s="25" t="s">
        <v>212</v>
      </c>
      <c r="B28" s="23">
        <f>SUMIF(Master!B:B, A28, Master!E:E)</f>
        <v>320.2273964</v>
      </c>
      <c r="C28" s="29">
        <f t="shared" si="1"/>
        <v>160.1136982</v>
      </c>
      <c r="D28" s="31">
        <f>COUNTIF(Master!B:B, A28)</f>
        <v>2</v>
      </c>
      <c r="F28" s="26" t="s">
        <v>71</v>
      </c>
      <c r="G28" s="23">
        <v>320.61427184466015</v>
      </c>
      <c r="H28" s="23"/>
      <c r="I28" s="26" t="s">
        <v>107</v>
      </c>
      <c r="J28" s="29">
        <v>312.17815384615386</v>
      </c>
      <c r="K28" s="35">
        <v>78.04453846153847</v>
      </c>
    </row>
    <row r="29" ht="15.75" customHeight="1">
      <c r="A29" s="25" t="s">
        <v>193</v>
      </c>
      <c r="B29" s="23">
        <f>SUMIF(Master!B:B, A29, Master!E:E)</f>
        <v>326.1621359</v>
      </c>
      <c r="C29" s="29">
        <f t="shared" si="1"/>
        <v>163.081068</v>
      </c>
      <c r="D29" s="31">
        <f>COUNTIF(Master!B:B, A29)</f>
        <v>2</v>
      </c>
      <c r="F29" s="26" t="s">
        <v>193</v>
      </c>
      <c r="G29" s="23">
        <v>326.16213592233015</v>
      </c>
      <c r="H29" s="23"/>
      <c r="I29" s="26" t="s">
        <v>94</v>
      </c>
      <c r="J29" s="29">
        <v>239.5786153846154</v>
      </c>
      <c r="K29" s="35">
        <v>79.85953846153846</v>
      </c>
    </row>
    <row r="30" ht="15.75" customHeight="1">
      <c r="A30" s="25" t="s">
        <v>77</v>
      </c>
      <c r="B30" s="23">
        <f>SUMIF(Master!B:B, A30, Master!E:E)</f>
        <v>338.2819417</v>
      </c>
      <c r="C30" s="29">
        <f t="shared" si="1"/>
        <v>56.38032362</v>
      </c>
      <c r="D30" s="31">
        <f>COUNTIF(Master!B:B, A30)</f>
        <v>6</v>
      </c>
      <c r="F30" s="26" t="s">
        <v>77</v>
      </c>
      <c r="G30" s="23">
        <v>338.28194174757283</v>
      </c>
      <c r="H30" s="23"/>
      <c r="I30" s="26" t="s">
        <v>71</v>
      </c>
      <c r="J30" s="29">
        <v>320.61427184466015</v>
      </c>
      <c r="K30" s="35">
        <v>80.15356796116504</v>
      </c>
    </row>
    <row r="31" ht="15.75" customHeight="1">
      <c r="A31" s="25" t="s">
        <v>90</v>
      </c>
      <c r="B31" s="23">
        <f>SUMIF(Master!B:B, A31, Master!E:E)</f>
        <v>383.0516744</v>
      </c>
      <c r="C31" s="29">
        <f t="shared" si="1"/>
        <v>127.6838915</v>
      </c>
      <c r="D31" s="31">
        <f>COUNTIF(Master!B:B, A31)</f>
        <v>3</v>
      </c>
      <c r="F31" s="26" t="s">
        <v>90</v>
      </c>
      <c r="G31" s="23">
        <v>383.05167438386854</v>
      </c>
      <c r="H31" s="23"/>
      <c r="I31" s="26" t="s">
        <v>80</v>
      </c>
      <c r="J31" s="29">
        <v>411.2054368932039</v>
      </c>
      <c r="K31" s="35">
        <v>82.24108737864078</v>
      </c>
    </row>
    <row r="32" ht="15.75" customHeight="1">
      <c r="A32" s="25" t="s">
        <v>80</v>
      </c>
      <c r="B32" s="23">
        <f>SUMIF(Master!B:B, A32, Master!E:E)</f>
        <v>411.2054369</v>
      </c>
      <c r="C32" s="29">
        <f t="shared" si="1"/>
        <v>82.24108738</v>
      </c>
      <c r="D32" s="31">
        <f>COUNTIF(Master!B:B, A32)</f>
        <v>5</v>
      </c>
      <c r="F32" s="26" t="s">
        <v>80</v>
      </c>
      <c r="G32" s="23">
        <v>411.2054368932039</v>
      </c>
      <c r="H32" s="23"/>
      <c r="I32" s="26" t="s">
        <v>68</v>
      </c>
      <c r="J32" s="29">
        <v>449.4453398058252</v>
      </c>
      <c r="K32" s="35">
        <v>89.88906796116504</v>
      </c>
    </row>
    <row r="33" ht="15.75" customHeight="1">
      <c r="A33" s="25" t="s">
        <v>68</v>
      </c>
      <c r="B33" s="23">
        <f>SUMIF(Master!B:B, A33, Master!E:E)</f>
        <v>449.4453398</v>
      </c>
      <c r="C33" s="29">
        <f t="shared" si="1"/>
        <v>89.88906796</v>
      </c>
      <c r="D33" s="31">
        <f>COUNTIF(Master!B:B, A33)</f>
        <v>5</v>
      </c>
      <c r="F33" s="26" t="s">
        <v>68</v>
      </c>
      <c r="G33" s="23">
        <v>449.4453398058252</v>
      </c>
      <c r="H33" s="23"/>
      <c r="I33" s="26" t="s">
        <v>102</v>
      </c>
      <c r="J33" s="29">
        <v>724.4639805825243</v>
      </c>
      <c r="K33" s="35">
        <v>90.55799757281554</v>
      </c>
    </row>
    <row r="34" ht="15.75" customHeight="1">
      <c r="A34" s="25" t="s">
        <v>157</v>
      </c>
      <c r="B34" s="23">
        <f>SUMIF(Master!B:B, A34, Master!E:E)</f>
        <v>459.8932039</v>
      </c>
      <c r="C34" s="29">
        <f t="shared" si="1"/>
        <v>153.2977346</v>
      </c>
      <c r="D34" s="31">
        <f>COUNTIF(Master!B:B, A34)</f>
        <v>3</v>
      </c>
      <c r="F34" s="26" t="s">
        <v>157</v>
      </c>
      <c r="G34" s="23">
        <v>459.8932038834951</v>
      </c>
      <c r="H34" s="23"/>
      <c r="I34" s="26" t="s">
        <v>109</v>
      </c>
      <c r="J34" s="29">
        <v>554.1721893491124</v>
      </c>
      <c r="K34" s="35">
        <v>92.3620315581854</v>
      </c>
    </row>
    <row r="35" ht="15.75" customHeight="1">
      <c r="A35" s="25" t="s">
        <v>137</v>
      </c>
      <c r="B35" s="23">
        <f>SUMIF(Master!B:B, A35, Master!E:E)</f>
        <v>460.3174757</v>
      </c>
      <c r="C35" s="29">
        <f t="shared" si="1"/>
        <v>76.71957929</v>
      </c>
      <c r="D35" s="31">
        <f>COUNTIF(Master!B:B, A35)</f>
        <v>6</v>
      </c>
      <c r="F35" s="26" t="s">
        <v>137</v>
      </c>
      <c r="G35" s="23">
        <v>460.31747572815533</v>
      </c>
      <c r="H35" s="23"/>
      <c r="I35" s="26" t="s">
        <v>162</v>
      </c>
      <c r="J35" s="29">
        <v>186.3427218934911</v>
      </c>
      <c r="K35" s="35">
        <v>93.17136094674555</v>
      </c>
    </row>
    <row r="36" ht="15.75" customHeight="1">
      <c r="A36" s="25" t="s">
        <v>109</v>
      </c>
      <c r="B36" s="23">
        <f>SUMIF(Master!B:B, A36, Master!E:E)</f>
        <v>554.1721893</v>
      </c>
      <c r="C36" s="29">
        <f t="shared" si="1"/>
        <v>92.36203156</v>
      </c>
      <c r="D36" s="31">
        <v>6.0</v>
      </c>
      <c r="F36" s="26" t="s">
        <v>109</v>
      </c>
      <c r="G36" s="23">
        <v>554.1721893491124</v>
      </c>
      <c r="H36" s="23"/>
      <c r="I36" s="26" t="s">
        <v>64</v>
      </c>
      <c r="J36" s="29">
        <v>579.4599999999999</v>
      </c>
      <c r="K36" s="35">
        <v>115.89199999999998</v>
      </c>
    </row>
    <row r="37" ht="15.75" customHeight="1">
      <c r="A37" s="25" t="s">
        <v>54</v>
      </c>
      <c r="B37" s="23">
        <f>SUMIF(Master!B:B, A37, Master!E:E)</f>
        <v>570.4334937</v>
      </c>
      <c r="C37" s="29">
        <f t="shared" si="1"/>
        <v>63.38149929</v>
      </c>
      <c r="D37" s="31">
        <f>COUNTIF(Master!B:B, A37)</f>
        <v>9</v>
      </c>
      <c r="F37" s="26" t="s">
        <v>54</v>
      </c>
      <c r="G37" s="23">
        <v>570.4334936519791</v>
      </c>
      <c r="H37" s="23"/>
      <c r="I37" s="26" t="s">
        <v>183</v>
      </c>
      <c r="J37" s="29">
        <v>250.4886982248521</v>
      </c>
      <c r="K37" s="35">
        <v>125.24434911242605</v>
      </c>
    </row>
    <row r="38" ht="15.75" customHeight="1">
      <c r="A38" s="25" t="s">
        <v>40</v>
      </c>
      <c r="B38" s="23">
        <f>SUMIF(Master!B:B, A38, Master!E:E)</f>
        <v>570.7542747</v>
      </c>
      <c r="C38" s="29">
        <f t="shared" si="1"/>
        <v>35.67214217</v>
      </c>
      <c r="D38" s="31">
        <f>COUNTIF(Master!B:B, A38)</f>
        <v>16</v>
      </c>
      <c r="F38" s="26" t="s">
        <v>40</v>
      </c>
      <c r="G38" s="23">
        <v>570.7542747170678</v>
      </c>
      <c r="H38" s="23"/>
      <c r="I38" s="26" t="s">
        <v>90</v>
      </c>
      <c r="J38" s="29">
        <v>383.05167438386854</v>
      </c>
      <c r="K38" s="35">
        <v>127.68389146128952</v>
      </c>
    </row>
    <row r="39" ht="15.75" customHeight="1">
      <c r="A39" s="25" t="s">
        <v>64</v>
      </c>
      <c r="B39" s="23">
        <f>SUMIF(Master!B:B, A39, Master!E:E)</f>
        <v>579.46</v>
      </c>
      <c r="C39" s="29">
        <f t="shared" si="1"/>
        <v>115.892</v>
      </c>
      <c r="D39" s="31">
        <f>COUNTIF(Master!B:B, A39)</f>
        <v>5</v>
      </c>
      <c r="F39" s="26" t="s">
        <v>64</v>
      </c>
      <c r="G39" s="23">
        <v>579.4599999999999</v>
      </c>
      <c r="H39" s="23"/>
      <c r="I39" s="26" t="s">
        <v>157</v>
      </c>
      <c r="J39" s="29">
        <v>459.8932038834951</v>
      </c>
      <c r="K39" s="35">
        <v>153.29773462783172</v>
      </c>
    </row>
    <row r="40" ht="15.75" customHeight="1">
      <c r="A40" s="25" t="s">
        <v>102</v>
      </c>
      <c r="B40" s="23">
        <f>SUMIF(Master!B:B, A40, Master!E:E)</f>
        <v>724.4639806</v>
      </c>
      <c r="C40" s="29">
        <f t="shared" si="1"/>
        <v>90.55799757</v>
      </c>
      <c r="D40" s="31">
        <f>COUNTIF(Master!B:B, A40)</f>
        <v>8</v>
      </c>
      <c r="F40" s="26" t="s">
        <v>102</v>
      </c>
      <c r="G40" s="23">
        <v>724.4639805825243</v>
      </c>
      <c r="H40" s="23"/>
      <c r="I40" s="26" t="s">
        <v>212</v>
      </c>
      <c r="J40" s="29">
        <v>320.22739644970414</v>
      </c>
      <c r="K40" s="35">
        <v>160.11369822485207</v>
      </c>
    </row>
    <row r="41" ht="15.75" customHeight="1">
      <c r="A41" s="25" t="s">
        <v>30</v>
      </c>
      <c r="B41" s="23">
        <f>SUMIF(Master!B:B, A41, Master!E:E)</f>
        <v>809.6761165</v>
      </c>
      <c r="C41" s="29">
        <f t="shared" si="1"/>
        <v>73.60691968</v>
      </c>
      <c r="D41" s="31">
        <f>COUNTIF(Master!B:B, A41)</f>
        <v>11</v>
      </c>
      <c r="F41" s="26" t="s">
        <v>30</v>
      </c>
      <c r="G41" s="23">
        <v>809.6761165048542</v>
      </c>
      <c r="H41" s="23"/>
      <c r="I41" s="26" t="s">
        <v>193</v>
      </c>
      <c r="J41" s="29">
        <v>326.16213592233015</v>
      </c>
      <c r="K41" s="35">
        <v>163.08106796116508</v>
      </c>
    </row>
    <row r="42" ht="15.75" customHeight="1">
      <c r="B42" s="23"/>
      <c r="C42" s="23"/>
      <c r="F42" s="36"/>
      <c r="G42" s="37"/>
      <c r="I42" s="36"/>
      <c r="J42" s="37"/>
      <c r="K42" s="37"/>
    </row>
    <row r="43" ht="15.75" customHeight="1">
      <c r="B43" s="23"/>
      <c r="C43" s="23"/>
      <c r="F43" s="36"/>
      <c r="G43" s="37"/>
      <c r="I43" s="36"/>
      <c r="J43" s="37"/>
      <c r="K43" s="37"/>
    </row>
    <row r="44" ht="15.75" customHeight="1">
      <c r="B44" s="23"/>
      <c r="C44" s="23"/>
      <c r="F44" s="36"/>
      <c r="G44" s="37"/>
      <c r="I44" s="36"/>
      <c r="J44" s="37"/>
      <c r="K44" s="37"/>
    </row>
    <row r="45" ht="15.75" customHeight="1">
      <c r="B45" s="23"/>
      <c r="C45" s="23"/>
      <c r="F45" s="36"/>
      <c r="G45" s="37"/>
      <c r="I45" s="36"/>
      <c r="J45" s="37"/>
      <c r="K45" s="37"/>
    </row>
    <row r="46" ht="15.75" customHeight="1">
      <c r="B46" s="23"/>
      <c r="C46" s="23"/>
      <c r="F46" s="36"/>
      <c r="G46" s="37"/>
      <c r="I46" s="36"/>
      <c r="J46" s="37"/>
      <c r="K46" s="37"/>
    </row>
    <row r="47" ht="15.75" customHeight="1">
      <c r="B47" s="23"/>
      <c r="C47" s="23"/>
      <c r="F47" s="36"/>
      <c r="G47" s="37"/>
      <c r="I47" s="36"/>
      <c r="J47" s="37"/>
      <c r="K47" s="37"/>
    </row>
    <row r="48" ht="15.75" customHeight="1">
      <c r="B48" s="23"/>
      <c r="C48" s="23"/>
      <c r="F48" s="36"/>
      <c r="G48" s="37"/>
      <c r="I48" s="36"/>
      <c r="J48" s="37"/>
      <c r="K48" s="37"/>
    </row>
    <row r="49" ht="15.75" customHeight="1">
      <c r="B49" s="23"/>
      <c r="C49" s="23"/>
      <c r="F49" s="36"/>
      <c r="G49" s="37"/>
      <c r="I49" s="36"/>
      <c r="J49" s="37"/>
      <c r="K49" s="37"/>
    </row>
    <row r="50" ht="15.75" customHeight="1">
      <c r="B50" s="23"/>
      <c r="C50" s="23"/>
      <c r="F50" s="36"/>
      <c r="G50" s="37"/>
      <c r="I50" s="36"/>
      <c r="J50" s="37"/>
      <c r="K50" s="37"/>
    </row>
    <row r="51" ht="15.75" customHeight="1">
      <c r="B51" s="23"/>
      <c r="C51" s="23"/>
      <c r="F51" s="36"/>
      <c r="G51" s="37"/>
      <c r="I51" s="36"/>
      <c r="J51" s="37"/>
      <c r="K51" s="37"/>
    </row>
    <row r="52" ht="15.75" customHeight="1">
      <c r="B52" s="23"/>
      <c r="C52" s="23"/>
      <c r="F52" s="36"/>
      <c r="G52" s="37"/>
      <c r="I52" s="36"/>
      <c r="J52" s="37"/>
      <c r="K52" s="37"/>
    </row>
    <row r="53" ht="15.75" customHeight="1">
      <c r="B53" s="23"/>
      <c r="C53" s="23"/>
      <c r="F53" s="36"/>
      <c r="G53" s="37"/>
      <c r="I53" s="36"/>
      <c r="J53" s="37"/>
      <c r="K53" s="37"/>
    </row>
    <row r="54" ht="15.75" customHeight="1">
      <c r="B54" s="23"/>
      <c r="C54" s="23"/>
      <c r="F54" s="36"/>
      <c r="G54" s="37"/>
      <c r="I54" s="36"/>
      <c r="J54" s="37"/>
      <c r="K54" s="37"/>
    </row>
    <row r="55" ht="15.75" customHeight="1">
      <c r="B55" s="23"/>
      <c r="C55" s="23"/>
      <c r="F55" s="36"/>
      <c r="G55" s="37"/>
      <c r="I55" s="36"/>
      <c r="J55" s="37"/>
      <c r="K55" s="37"/>
    </row>
    <row r="56" ht="15.75" customHeight="1">
      <c r="B56" s="23"/>
      <c r="C56" s="23"/>
      <c r="F56" s="36"/>
      <c r="G56" s="37"/>
      <c r="I56" s="36"/>
      <c r="J56" s="37"/>
      <c r="K56" s="37"/>
    </row>
    <row r="57" ht="15.75" customHeight="1">
      <c r="B57" s="23"/>
      <c r="C57" s="23"/>
      <c r="F57" s="36"/>
      <c r="G57" s="37"/>
      <c r="I57" s="36"/>
      <c r="J57" s="37"/>
      <c r="K57" s="37"/>
    </row>
    <row r="58" ht="15.75" customHeight="1">
      <c r="B58" s="23"/>
      <c r="C58" s="23"/>
      <c r="F58" s="36"/>
      <c r="G58" s="37"/>
      <c r="I58" s="36"/>
      <c r="J58" s="37"/>
      <c r="K58" s="37"/>
    </row>
    <row r="59" ht="15.75" customHeight="1">
      <c r="B59" s="23"/>
      <c r="C59" s="23"/>
      <c r="F59" s="36"/>
      <c r="G59" s="37"/>
      <c r="I59" s="36"/>
      <c r="J59" s="37"/>
      <c r="K59" s="37"/>
    </row>
    <row r="60" ht="15.75" customHeight="1">
      <c r="B60" s="23"/>
      <c r="C60" s="23"/>
      <c r="F60" s="36"/>
      <c r="G60" s="37"/>
      <c r="I60" s="36"/>
      <c r="J60" s="37"/>
      <c r="K60" s="37"/>
    </row>
    <row r="61" ht="15.75" customHeight="1">
      <c r="B61" s="23"/>
      <c r="C61" s="23"/>
      <c r="F61" s="36"/>
      <c r="G61" s="37"/>
      <c r="I61" s="36"/>
      <c r="J61" s="37"/>
      <c r="K61" s="37"/>
    </row>
    <row r="62" ht="15.75" customHeight="1">
      <c r="B62" s="23"/>
      <c r="C62" s="23"/>
      <c r="F62" s="36"/>
      <c r="G62" s="37"/>
      <c r="I62" s="36"/>
      <c r="J62" s="37"/>
      <c r="K62" s="37"/>
    </row>
    <row r="63" ht="15.75" customHeight="1">
      <c r="B63" s="23"/>
      <c r="C63" s="23"/>
      <c r="F63" s="36"/>
      <c r="G63" s="37"/>
      <c r="I63" s="36"/>
      <c r="J63" s="37"/>
      <c r="K63" s="37"/>
    </row>
    <row r="64" ht="15.75" customHeight="1">
      <c r="B64" s="23"/>
      <c r="C64" s="23"/>
      <c r="F64" s="36"/>
      <c r="G64" s="37"/>
      <c r="I64" s="36"/>
      <c r="J64" s="37"/>
      <c r="K64" s="37"/>
    </row>
    <row r="65" ht="15.75" customHeight="1">
      <c r="B65" s="23"/>
      <c r="C65" s="23"/>
      <c r="F65" s="36"/>
      <c r="G65" s="37"/>
      <c r="I65" s="36"/>
      <c r="J65" s="37"/>
      <c r="K65" s="37"/>
    </row>
    <row r="66" ht="15.75" customHeight="1">
      <c r="B66" s="23"/>
      <c r="C66" s="23"/>
      <c r="F66" s="36"/>
      <c r="G66" s="37"/>
      <c r="I66" s="36"/>
      <c r="J66" s="37"/>
      <c r="K66" s="37"/>
    </row>
    <row r="67" ht="15.75" customHeight="1">
      <c r="B67" s="23"/>
      <c r="C67" s="23"/>
      <c r="F67" s="36"/>
      <c r="G67" s="37"/>
      <c r="I67" s="36"/>
      <c r="J67" s="37"/>
      <c r="K67" s="37"/>
    </row>
    <row r="68" ht="15.75" customHeight="1">
      <c r="B68" s="23"/>
      <c r="C68" s="23"/>
      <c r="F68" s="36"/>
      <c r="G68" s="37"/>
      <c r="I68" s="36"/>
      <c r="J68" s="37"/>
      <c r="K68" s="37"/>
    </row>
    <row r="69" ht="15.75" customHeight="1">
      <c r="B69" s="23"/>
      <c r="C69" s="23"/>
      <c r="F69" s="36"/>
      <c r="G69" s="37"/>
      <c r="I69" s="36"/>
      <c r="J69" s="37"/>
      <c r="K69" s="37"/>
    </row>
    <row r="70" ht="15.75" customHeight="1">
      <c r="B70" s="23"/>
      <c r="C70" s="23"/>
      <c r="F70" s="36"/>
      <c r="G70" s="37"/>
      <c r="I70" s="36"/>
      <c r="J70" s="37"/>
      <c r="K70" s="37"/>
    </row>
    <row r="71" ht="15.75" customHeight="1">
      <c r="B71" s="23"/>
      <c r="C71" s="23"/>
      <c r="F71" s="36"/>
      <c r="G71" s="37"/>
      <c r="I71" s="36"/>
      <c r="J71" s="37"/>
      <c r="K71" s="37"/>
    </row>
    <row r="72" ht="15.75" customHeight="1">
      <c r="B72" s="23"/>
      <c r="C72" s="23"/>
      <c r="F72" s="36"/>
      <c r="G72" s="37"/>
      <c r="I72" s="36"/>
      <c r="J72" s="37"/>
      <c r="K72" s="37"/>
    </row>
    <row r="73" ht="15.75" customHeight="1">
      <c r="B73" s="23"/>
      <c r="C73" s="23"/>
      <c r="F73" s="36"/>
      <c r="G73" s="37"/>
      <c r="I73" s="36"/>
      <c r="J73" s="37"/>
      <c r="K73" s="37"/>
    </row>
    <row r="74" ht="15.75" customHeight="1">
      <c r="B74" s="23"/>
      <c r="C74" s="23"/>
      <c r="F74" s="36"/>
      <c r="G74" s="37"/>
      <c r="I74" s="36"/>
      <c r="J74" s="37"/>
      <c r="K74" s="37"/>
    </row>
    <row r="75" ht="15.75" customHeight="1">
      <c r="B75" s="23"/>
      <c r="C75" s="23"/>
      <c r="F75" s="36"/>
      <c r="G75" s="37"/>
      <c r="I75" s="36"/>
      <c r="J75" s="37"/>
      <c r="K75" s="37"/>
    </row>
    <row r="76" ht="15.75" customHeight="1">
      <c r="B76" s="23"/>
      <c r="C76" s="23"/>
      <c r="F76" s="36"/>
      <c r="G76" s="37"/>
      <c r="I76" s="36"/>
      <c r="J76" s="37"/>
      <c r="K76" s="37"/>
    </row>
    <row r="77" ht="15.75" customHeight="1">
      <c r="B77" s="23"/>
      <c r="C77" s="23"/>
      <c r="F77" s="36"/>
      <c r="G77" s="37"/>
      <c r="I77" s="36"/>
      <c r="J77" s="37"/>
      <c r="K77" s="37"/>
    </row>
    <row r="78" ht="15.75" customHeight="1">
      <c r="B78" s="23"/>
      <c r="C78" s="23"/>
      <c r="F78" s="36"/>
      <c r="G78" s="37"/>
      <c r="I78" s="36"/>
      <c r="J78" s="37"/>
      <c r="K78" s="37"/>
    </row>
    <row r="79" ht="15.75" customHeight="1">
      <c r="B79" s="23"/>
      <c r="C79" s="23"/>
      <c r="F79" s="36"/>
      <c r="G79" s="37"/>
      <c r="I79" s="36"/>
      <c r="J79" s="37"/>
      <c r="K79" s="37"/>
    </row>
    <row r="80" ht="15.75" customHeight="1">
      <c r="B80" s="23"/>
      <c r="C80" s="23"/>
      <c r="F80" s="36"/>
      <c r="G80" s="37"/>
      <c r="I80" s="36"/>
      <c r="J80" s="37"/>
      <c r="K80" s="37"/>
    </row>
    <row r="81" ht="15.75" customHeight="1">
      <c r="B81" s="23"/>
      <c r="C81" s="23"/>
      <c r="F81" s="36"/>
      <c r="G81" s="37"/>
      <c r="I81" s="36"/>
      <c r="J81" s="37"/>
      <c r="K81" s="37"/>
    </row>
    <row r="82" ht="15.75" customHeight="1">
      <c r="B82" s="23"/>
      <c r="C82" s="23"/>
      <c r="F82" s="36"/>
      <c r="G82" s="37"/>
      <c r="I82" s="36"/>
      <c r="J82" s="37"/>
      <c r="K82" s="37"/>
    </row>
    <row r="83" ht="15.75" customHeight="1">
      <c r="B83" s="23"/>
      <c r="C83" s="23"/>
      <c r="F83" s="36"/>
      <c r="G83" s="37"/>
      <c r="I83" s="36"/>
      <c r="J83" s="37"/>
      <c r="K83" s="37"/>
    </row>
    <row r="84" ht="15.75" customHeight="1">
      <c r="B84" s="23"/>
      <c r="C84" s="23"/>
      <c r="F84" s="36"/>
      <c r="G84" s="37"/>
      <c r="I84" s="36"/>
      <c r="J84" s="37"/>
      <c r="K84" s="37"/>
    </row>
    <row r="85" ht="15.75" customHeight="1">
      <c r="B85" s="23"/>
      <c r="C85" s="23"/>
      <c r="F85" s="36"/>
      <c r="G85" s="37"/>
      <c r="I85" s="36"/>
      <c r="J85" s="37"/>
      <c r="K85" s="37"/>
    </row>
    <row r="86" ht="15.75" customHeight="1">
      <c r="B86" s="23"/>
      <c r="C86" s="23"/>
      <c r="F86" s="36"/>
      <c r="G86" s="37"/>
      <c r="I86" s="36"/>
      <c r="J86" s="37"/>
      <c r="K86" s="37"/>
    </row>
    <row r="87" ht="15.75" customHeight="1">
      <c r="B87" s="23"/>
      <c r="C87" s="23"/>
      <c r="F87" s="36"/>
      <c r="G87" s="37"/>
      <c r="I87" s="36"/>
      <c r="J87" s="37"/>
      <c r="K87" s="37"/>
    </row>
    <row r="88" ht="15.75" customHeight="1">
      <c r="B88" s="23"/>
      <c r="C88" s="23"/>
      <c r="F88" s="36"/>
      <c r="G88" s="37"/>
      <c r="I88" s="36"/>
      <c r="J88" s="37"/>
      <c r="K88" s="37"/>
    </row>
    <row r="89" ht="15.75" customHeight="1">
      <c r="B89" s="23"/>
      <c r="C89" s="23"/>
      <c r="F89" s="36"/>
      <c r="G89" s="37"/>
      <c r="I89" s="36"/>
      <c r="J89" s="37"/>
      <c r="K89" s="37"/>
    </row>
    <row r="90" ht="15.75" customHeight="1">
      <c r="B90" s="23"/>
      <c r="C90" s="23"/>
      <c r="F90" s="36"/>
      <c r="G90" s="37"/>
      <c r="I90" s="36"/>
      <c r="J90" s="37"/>
      <c r="K90" s="37"/>
    </row>
    <row r="91" ht="15.75" customHeight="1">
      <c r="B91" s="23"/>
      <c r="C91" s="23"/>
      <c r="F91" s="36"/>
      <c r="G91" s="37"/>
      <c r="I91" s="36"/>
      <c r="J91" s="37"/>
      <c r="K91" s="37"/>
    </row>
    <row r="92" ht="15.75" customHeight="1">
      <c r="B92" s="23"/>
      <c r="C92" s="23"/>
      <c r="F92" s="36"/>
      <c r="G92" s="37"/>
      <c r="I92" s="36"/>
      <c r="J92" s="37"/>
      <c r="K92" s="37"/>
    </row>
    <row r="93" ht="15.75" customHeight="1">
      <c r="B93" s="23"/>
      <c r="C93" s="23"/>
      <c r="F93" s="36"/>
      <c r="G93" s="37"/>
      <c r="I93" s="36"/>
      <c r="J93" s="37"/>
      <c r="K93" s="37"/>
    </row>
    <row r="94" ht="15.75" customHeight="1">
      <c r="B94" s="23"/>
      <c r="C94" s="23"/>
      <c r="F94" s="36"/>
      <c r="G94" s="37"/>
      <c r="I94" s="36"/>
      <c r="J94" s="37"/>
      <c r="K94" s="37"/>
    </row>
    <row r="95" ht="15.75" customHeight="1">
      <c r="B95" s="23"/>
      <c r="C95" s="23"/>
      <c r="F95" s="36"/>
      <c r="G95" s="37"/>
      <c r="I95" s="36"/>
      <c r="J95" s="37"/>
      <c r="K95" s="37"/>
    </row>
    <row r="96" ht="15.75" customHeight="1">
      <c r="B96" s="23"/>
      <c r="C96" s="23"/>
      <c r="F96" s="36"/>
      <c r="G96" s="37"/>
      <c r="I96" s="36"/>
      <c r="J96" s="37"/>
      <c r="K96" s="37"/>
    </row>
    <row r="97" ht="15.75" customHeight="1">
      <c r="B97" s="23"/>
      <c r="C97" s="23"/>
      <c r="F97" s="36"/>
      <c r="G97" s="37"/>
      <c r="I97" s="36"/>
      <c r="J97" s="37"/>
      <c r="K97" s="37"/>
    </row>
    <row r="98" ht="15.75" customHeight="1">
      <c r="B98" s="23"/>
      <c r="C98" s="23"/>
      <c r="F98" s="36"/>
      <c r="G98" s="37"/>
      <c r="I98" s="36"/>
      <c r="J98" s="37"/>
      <c r="K98" s="37"/>
    </row>
    <row r="99" ht="15.75" customHeight="1">
      <c r="B99" s="23"/>
      <c r="C99" s="23"/>
      <c r="F99" s="36"/>
      <c r="G99" s="37"/>
      <c r="I99" s="36"/>
      <c r="J99" s="37"/>
      <c r="K99" s="37"/>
    </row>
    <row r="100" ht="15.75" customHeight="1">
      <c r="B100" s="23"/>
      <c r="C100" s="23"/>
      <c r="F100" s="36"/>
      <c r="G100" s="37"/>
      <c r="I100" s="36"/>
      <c r="J100" s="37"/>
      <c r="K100" s="37"/>
    </row>
    <row r="101" ht="15.75" customHeight="1">
      <c r="B101" s="23"/>
      <c r="C101" s="23"/>
      <c r="F101" s="36"/>
      <c r="G101" s="37"/>
      <c r="I101" s="36"/>
      <c r="J101" s="37"/>
      <c r="K101" s="37"/>
    </row>
    <row r="102" ht="15.75" customHeight="1">
      <c r="B102" s="23"/>
      <c r="C102" s="23"/>
      <c r="F102" s="36"/>
      <c r="G102" s="37"/>
      <c r="I102" s="36"/>
      <c r="J102" s="37"/>
      <c r="K102" s="37"/>
    </row>
    <row r="103" ht="15.75" customHeight="1">
      <c r="B103" s="23"/>
      <c r="C103" s="23"/>
      <c r="F103" s="36"/>
      <c r="G103" s="37"/>
      <c r="I103" s="36"/>
      <c r="J103" s="37"/>
      <c r="K103" s="37"/>
    </row>
    <row r="104" ht="15.75" customHeight="1">
      <c r="B104" s="23"/>
      <c r="C104" s="23"/>
      <c r="F104" s="36"/>
      <c r="G104" s="37"/>
      <c r="I104" s="36"/>
      <c r="J104" s="37"/>
      <c r="K104" s="37"/>
    </row>
    <row r="105" ht="15.75" customHeight="1">
      <c r="B105" s="23"/>
      <c r="C105" s="23"/>
      <c r="F105" s="36"/>
      <c r="G105" s="37"/>
      <c r="I105" s="36"/>
      <c r="J105" s="37"/>
      <c r="K105" s="37"/>
    </row>
    <row r="106" ht="15.75" customHeight="1">
      <c r="B106" s="23"/>
      <c r="C106" s="23"/>
      <c r="F106" s="36"/>
      <c r="G106" s="37"/>
      <c r="I106" s="36"/>
      <c r="J106" s="37"/>
      <c r="K106" s="37"/>
    </row>
    <row r="107" ht="15.75" customHeight="1">
      <c r="B107" s="23"/>
      <c r="C107" s="23"/>
      <c r="F107" s="36"/>
      <c r="G107" s="37"/>
      <c r="I107" s="36"/>
      <c r="J107" s="37"/>
      <c r="K107" s="37"/>
    </row>
    <row r="108" ht="15.75" customHeight="1">
      <c r="B108" s="23"/>
      <c r="C108" s="23"/>
      <c r="F108" s="36"/>
      <c r="G108" s="37"/>
      <c r="I108" s="36"/>
      <c r="J108" s="37"/>
      <c r="K108" s="37"/>
    </row>
    <row r="109" ht="15.75" customHeight="1">
      <c r="B109" s="23"/>
      <c r="C109" s="23"/>
      <c r="F109" s="36"/>
      <c r="G109" s="37"/>
      <c r="I109" s="36"/>
      <c r="J109" s="37"/>
      <c r="K109" s="37"/>
    </row>
    <row r="110" ht="15.75" customHeight="1">
      <c r="B110" s="23"/>
      <c r="C110" s="23"/>
      <c r="F110" s="36"/>
      <c r="G110" s="37"/>
      <c r="I110" s="36"/>
      <c r="J110" s="37"/>
      <c r="K110" s="37"/>
    </row>
    <row r="111" ht="15.75" customHeight="1">
      <c r="B111" s="23"/>
      <c r="C111" s="23"/>
      <c r="F111" s="36"/>
      <c r="G111" s="37"/>
      <c r="I111" s="36"/>
      <c r="J111" s="37"/>
      <c r="K111" s="37"/>
    </row>
    <row r="112" ht="15.75" customHeight="1">
      <c r="B112" s="23"/>
      <c r="C112" s="23"/>
      <c r="F112" s="36"/>
      <c r="G112" s="37"/>
      <c r="I112" s="36"/>
      <c r="J112" s="37"/>
      <c r="K112" s="37"/>
    </row>
    <row r="113" ht="15.75" customHeight="1">
      <c r="B113" s="23"/>
      <c r="C113" s="23"/>
      <c r="F113" s="36"/>
      <c r="G113" s="37"/>
      <c r="I113" s="36"/>
      <c r="J113" s="37"/>
      <c r="K113" s="37"/>
    </row>
    <row r="114" ht="15.75" customHeight="1">
      <c r="B114" s="23"/>
      <c r="C114" s="23"/>
      <c r="F114" s="36"/>
      <c r="G114" s="37"/>
      <c r="I114" s="36"/>
      <c r="J114" s="37"/>
      <c r="K114" s="37"/>
    </row>
    <row r="115" ht="15.75" customHeight="1">
      <c r="B115" s="23"/>
      <c r="C115" s="23"/>
      <c r="F115" s="36"/>
      <c r="G115" s="37"/>
      <c r="I115" s="36"/>
      <c r="J115" s="37"/>
      <c r="K115" s="37"/>
    </row>
    <row r="116" ht="15.75" customHeight="1">
      <c r="B116" s="23"/>
      <c r="C116" s="23"/>
      <c r="F116" s="36"/>
      <c r="G116" s="37"/>
      <c r="I116" s="36"/>
      <c r="J116" s="37"/>
      <c r="K116" s="37"/>
    </row>
    <row r="117" ht="15.75" customHeight="1">
      <c r="B117" s="23"/>
      <c r="C117" s="23"/>
      <c r="F117" s="36"/>
      <c r="G117" s="37"/>
      <c r="I117" s="36"/>
      <c r="J117" s="37"/>
      <c r="K117" s="37"/>
    </row>
    <row r="118" ht="15.75" customHeight="1">
      <c r="B118" s="23"/>
      <c r="C118" s="23"/>
      <c r="F118" s="36"/>
      <c r="G118" s="37"/>
      <c r="I118" s="36"/>
      <c r="J118" s="37"/>
      <c r="K118" s="37"/>
    </row>
    <row r="119" ht="15.75" customHeight="1">
      <c r="B119" s="23"/>
      <c r="C119" s="23"/>
      <c r="F119" s="36"/>
      <c r="G119" s="37"/>
      <c r="I119" s="36"/>
      <c r="J119" s="37"/>
      <c r="K119" s="37"/>
    </row>
    <row r="120" ht="15.75" customHeight="1">
      <c r="B120" s="23"/>
      <c r="C120" s="23"/>
      <c r="F120" s="36"/>
      <c r="G120" s="37"/>
      <c r="I120" s="36"/>
      <c r="J120" s="37"/>
      <c r="K120" s="37"/>
    </row>
    <row r="121" ht="15.75" customHeight="1">
      <c r="B121" s="23"/>
      <c r="C121" s="23"/>
      <c r="F121" s="36"/>
      <c r="G121" s="37"/>
      <c r="I121" s="36"/>
      <c r="J121" s="37"/>
      <c r="K121" s="37"/>
    </row>
    <row r="122" ht="15.75" customHeight="1">
      <c r="B122" s="23"/>
      <c r="C122" s="23"/>
      <c r="F122" s="36"/>
      <c r="G122" s="37"/>
      <c r="I122" s="36"/>
      <c r="J122" s="37"/>
      <c r="K122" s="37"/>
    </row>
    <row r="123" ht="15.75" customHeight="1">
      <c r="B123" s="23"/>
      <c r="C123" s="23"/>
      <c r="F123" s="36"/>
      <c r="G123" s="37"/>
      <c r="I123" s="36"/>
      <c r="J123" s="37"/>
      <c r="K123" s="37"/>
    </row>
    <row r="124" ht="15.75" customHeight="1">
      <c r="B124" s="23"/>
      <c r="C124" s="23"/>
      <c r="F124" s="36"/>
      <c r="G124" s="37"/>
      <c r="I124" s="36"/>
      <c r="J124" s="37"/>
      <c r="K124" s="37"/>
    </row>
    <row r="125" ht="15.75" customHeight="1">
      <c r="B125" s="23"/>
      <c r="C125" s="23"/>
      <c r="F125" s="36"/>
      <c r="G125" s="37"/>
      <c r="I125" s="36"/>
      <c r="J125" s="37"/>
      <c r="K125" s="37"/>
    </row>
    <row r="126" ht="15.75" customHeight="1">
      <c r="B126" s="23"/>
      <c r="C126" s="23"/>
      <c r="F126" s="36"/>
      <c r="G126" s="37"/>
      <c r="I126" s="36"/>
      <c r="J126" s="37"/>
      <c r="K126" s="37"/>
    </row>
    <row r="127" ht="15.75" customHeight="1">
      <c r="B127" s="23"/>
      <c r="C127" s="23"/>
      <c r="F127" s="36"/>
      <c r="G127" s="37"/>
      <c r="I127" s="36"/>
      <c r="J127" s="37"/>
      <c r="K127" s="37"/>
    </row>
    <row r="128" ht="15.75" customHeight="1">
      <c r="B128" s="23"/>
      <c r="C128" s="23"/>
      <c r="F128" s="36"/>
      <c r="G128" s="37"/>
      <c r="I128" s="36"/>
      <c r="J128" s="37"/>
      <c r="K128" s="37"/>
    </row>
    <row r="129" ht="15.75" customHeight="1">
      <c r="B129" s="23"/>
      <c r="C129" s="23"/>
      <c r="F129" s="36"/>
      <c r="G129" s="37"/>
      <c r="I129" s="36"/>
      <c r="J129" s="37"/>
      <c r="K129" s="37"/>
    </row>
    <row r="130" ht="15.75" customHeight="1">
      <c r="B130" s="23"/>
      <c r="C130" s="23"/>
      <c r="F130" s="36"/>
      <c r="G130" s="37"/>
      <c r="I130" s="36"/>
      <c r="J130" s="37"/>
      <c r="K130" s="37"/>
    </row>
    <row r="131" ht="15.75" customHeight="1">
      <c r="B131" s="23"/>
      <c r="C131" s="23"/>
      <c r="F131" s="36"/>
      <c r="G131" s="37"/>
      <c r="I131" s="36"/>
      <c r="J131" s="37"/>
      <c r="K131" s="37"/>
    </row>
    <row r="132" ht="15.75" customHeight="1">
      <c r="B132" s="23"/>
      <c r="C132" s="23"/>
      <c r="F132" s="36"/>
      <c r="G132" s="37"/>
      <c r="I132" s="36"/>
      <c r="J132" s="37"/>
      <c r="K132" s="37"/>
    </row>
    <row r="133" ht="15.75" customHeight="1">
      <c r="B133" s="23"/>
      <c r="C133" s="23"/>
      <c r="F133" s="36"/>
      <c r="G133" s="37"/>
      <c r="I133" s="36"/>
      <c r="J133" s="37"/>
      <c r="K133" s="37"/>
    </row>
    <row r="134" ht="15.75" customHeight="1">
      <c r="B134" s="23"/>
      <c r="C134" s="23"/>
      <c r="F134" s="36"/>
      <c r="G134" s="37"/>
      <c r="I134" s="36"/>
      <c r="J134" s="37"/>
      <c r="K134" s="37"/>
    </row>
    <row r="135" ht="15.75" customHeight="1">
      <c r="B135" s="23"/>
      <c r="C135" s="23"/>
      <c r="F135" s="36"/>
      <c r="G135" s="37"/>
      <c r="I135" s="36"/>
      <c r="J135" s="37"/>
      <c r="K135" s="37"/>
    </row>
    <row r="136" ht="15.75" customHeight="1">
      <c r="B136" s="23"/>
      <c r="C136" s="23"/>
      <c r="F136" s="36"/>
      <c r="G136" s="37"/>
      <c r="I136" s="36"/>
      <c r="J136" s="37"/>
      <c r="K136" s="37"/>
    </row>
    <row r="137" ht="15.75" customHeight="1">
      <c r="B137" s="23"/>
      <c r="C137" s="23"/>
      <c r="F137" s="36"/>
      <c r="G137" s="37"/>
      <c r="I137" s="36"/>
      <c r="J137" s="37"/>
      <c r="K137" s="37"/>
    </row>
    <row r="138" ht="15.75" customHeight="1">
      <c r="B138" s="23"/>
      <c r="C138" s="23"/>
      <c r="F138" s="36"/>
      <c r="G138" s="37"/>
      <c r="I138" s="36"/>
      <c r="J138" s="37"/>
      <c r="K138" s="37"/>
    </row>
    <row r="139" ht="15.75" customHeight="1">
      <c r="B139" s="23"/>
      <c r="C139" s="23"/>
      <c r="F139" s="36"/>
      <c r="G139" s="37"/>
      <c r="I139" s="36"/>
      <c r="J139" s="37"/>
      <c r="K139" s="37"/>
    </row>
    <row r="140" ht="15.75" customHeight="1">
      <c r="B140" s="23"/>
      <c r="C140" s="23"/>
      <c r="F140" s="36"/>
      <c r="G140" s="37"/>
      <c r="I140" s="36"/>
      <c r="J140" s="37"/>
      <c r="K140" s="37"/>
    </row>
    <row r="141" ht="15.75" customHeight="1">
      <c r="B141" s="23"/>
      <c r="C141" s="23"/>
      <c r="F141" s="36"/>
      <c r="G141" s="37"/>
      <c r="I141" s="36"/>
      <c r="J141" s="37"/>
      <c r="K141" s="37"/>
    </row>
    <row r="142" ht="15.75" customHeight="1">
      <c r="B142" s="23"/>
      <c r="C142" s="23"/>
      <c r="F142" s="36"/>
      <c r="G142" s="37"/>
      <c r="I142" s="36"/>
      <c r="J142" s="37"/>
      <c r="K142" s="37"/>
    </row>
    <row r="143" ht="15.75" customHeight="1">
      <c r="B143" s="23"/>
      <c r="C143" s="23"/>
      <c r="F143" s="36"/>
      <c r="G143" s="37"/>
      <c r="I143" s="36"/>
      <c r="J143" s="37"/>
      <c r="K143" s="37"/>
    </row>
    <row r="144" ht="15.75" customHeight="1">
      <c r="B144" s="23"/>
      <c r="C144" s="23"/>
      <c r="F144" s="36"/>
      <c r="G144" s="37"/>
      <c r="I144" s="36"/>
      <c r="J144" s="37"/>
      <c r="K144" s="37"/>
    </row>
    <row r="145" ht="15.75" customHeight="1">
      <c r="B145" s="23"/>
      <c r="C145" s="23"/>
      <c r="F145" s="36"/>
      <c r="G145" s="37"/>
      <c r="I145" s="36"/>
      <c r="J145" s="37"/>
      <c r="K145" s="37"/>
    </row>
    <row r="146" ht="15.75" customHeight="1">
      <c r="B146" s="23"/>
      <c r="C146" s="23"/>
      <c r="F146" s="36"/>
      <c r="G146" s="37"/>
      <c r="I146" s="36"/>
      <c r="J146" s="37"/>
      <c r="K146" s="37"/>
    </row>
    <row r="147" ht="15.75" customHeight="1">
      <c r="B147" s="23"/>
      <c r="C147" s="23"/>
      <c r="F147" s="36"/>
      <c r="G147" s="37"/>
      <c r="I147" s="36"/>
      <c r="J147" s="37"/>
      <c r="K147" s="37"/>
    </row>
    <row r="148" ht="15.75" customHeight="1">
      <c r="B148" s="23"/>
      <c r="C148" s="23"/>
      <c r="F148" s="36"/>
      <c r="G148" s="37"/>
      <c r="I148" s="36"/>
      <c r="J148" s="37"/>
      <c r="K148" s="37"/>
    </row>
    <row r="149" ht="15.75" customHeight="1">
      <c r="B149" s="23"/>
      <c r="C149" s="23"/>
      <c r="F149" s="36"/>
      <c r="G149" s="37"/>
      <c r="I149" s="36"/>
      <c r="J149" s="37"/>
      <c r="K149" s="37"/>
    </row>
    <row r="150" ht="15.75" customHeight="1">
      <c r="B150" s="23"/>
      <c r="C150" s="23"/>
      <c r="F150" s="36"/>
      <c r="G150" s="37"/>
      <c r="I150" s="36"/>
      <c r="J150" s="37"/>
      <c r="K150" s="37"/>
    </row>
    <row r="151" ht="15.75" customHeight="1">
      <c r="B151" s="23"/>
      <c r="C151" s="23"/>
      <c r="F151" s="36"/>
      <c r="G151" s="37"/>
      <c r="I151" s="36"/>
      <c r="J151" s="37"/>
      <c r="K151" s="37"/>
    </row>
    <row r="152" ht="15.75" customHeight="1">
      <c r="B152" s="23"/>
      <c r="C152" s="23"/>
      <c r="F152" s="36"/>
      <c r="G152" s="37"/>
      <c r="I152" s="36"/>
      <c r="J152" s="37"/>
      <c r="K152" s="37"/>
    </row>
    <row r="153" ht="15.75" customHeight="1">
      <c r="B153" s="23"/>
      <c r="C153" s="23"/>
      <c r="F153" s="36"/>
      <c r="G153" s="37"/>
      <c r="I153" s="36"/>
      <c r="J153" s="37"/>
      <c r="K153" s="37"/>
    </row>
    <row r="154" ht="15.75" customHeight="1">
      <c r="B154" s="23"/>
      <c r="C154" s="23"/>
      <c r="F154" s="36"/>
      <c r="G154" s="37"/>
      <c r="I154" s="36"/>
      <c r="J154" s="37"/>
      <c r="K154" s="37"/>
    </row>
    <row r="155" ht="15.75" customHeight="1">
      <c r="B155" s="23"/>
      <c r="C155" s="23"/>
      <c r="F155" s="36"/>
      <c r="G155" s="37"/>
      <c r="I155" s="36"/>
      <c r="J155" s="37"/>
      <c r="K155" s="37"/>
    </row>
    <row r="156" ht="15.75" customHeight="1">
      <c r="B156" s="23"/>
      <c r="C156" s="23"/>
      <c r="F156" s="36"/>
      <c r="G156" s="37"/>
      <c r="I156" s="36"/>
      <c r="J156" s="37"/>
      <c r="K156" s="37"/>
    </row>
    <row r="157" ht="15.75" customHeight="1">
      <c r="B157" s="23"/>
      <c r="C157" s="23"/>
      <c r="F157" s="36"/>
      <c r="G157" s="37"/>
      <c r="I157" s="36"/>
      <c r="J157" s="37"/>
      <c r="K157" s="37"/>
    </row>
    <row r="158" ht="15.75" customHeight="1">
      <c r="B158" s="23"/>
      <c r="C158" s="23"/>
      <c r="F158" s="36"/>
      <c r="G158" s="37"/>
      <c r="I158" s="36"/>
      <c r="J158" s="37"/>
      <c r="K158" s="37"/>
    </row>
    <row r="159" ht="15.75" customHeight="1">
      <c r="B159" s="23"/>
      <c r="C159" s="23"/>
      <c r="F159" s="36"/>
      <c r="G159" s="37"/>
      <c r="I159" s="36"/>
      <c r="J159" s="37"/>
      <c r="K159" s="37"/>
    </row>
    <row r="160" ht="15.75" customHeight="1">
      <c r="B160" s="23"/>
      <c r="C160" s="23"/>
      <c r="F160" s="36"/>
      <c r="G160" s="37"/>
      <c r="I160" s="36"/>
      <c r="J160" s="37"/>
      <c r="K160" s="37"/>
    </row>
    <row r="161" ht="15.75" customHeight="1">
      <c r="B161" s="23"/>
      <c r="C161" s="23"/>
      <c r="F161" s="36"/>
      <c r="G161" s="37"/>
      <c r="I161" s="36"/>
      <c r="J161" s="37"/>
      <c r="K161" s="37"/>
    </row>
    <row r="162" ht="15.75" customHeight="1">
      <c r="B162" s="23"/>
      <c r="C162" s="23"/>
      <c r="F162" s="36"/>
      <c r="G162" s="37"/>
      <c r="I162" s="36"/>
      <c r="J162" s="37"/>
      <c r="K162" s="37"/>
    </row>
    <row r="163" ht="15.75" customHeight="1">
      <c r="B163" s="23"/>
      <c r="C163" s="23"/>
      <c r="F163" s="36"/>
      <c r="G163" s="37"/>
      <c r="I163" s="36"/>
      <c r="J163" s="37"/>
      <c r="K163" s="37"/>
    </row>
    <row r="164" ht="15.75" customHeight="1">
      <c r="B164" s="23"/>
      <c r="C164" s="23"/>
      <c r="F164" s="36"/>
      <c r="G164" s="37"/>
      <c r="I164" s="36"/>
      <c r="J164" s="37"/>
      <c r="K164" s="37"/>
    </row>
    <row r="165" ht="15.75" customHeight="1">
      <c r="B165" s="23"/>
      <c r="C165" s="23"/>
      <c r="F165" s="36"/>
      <c r="G165" s="37"/>
      <c r="I165" s="36"/>
      <c r="J165" s="37"/>
      <c r="K165" s="37"/>
    </row>
    <row r="166" ht="15.75" customHeight="1">
      <c r="B166" s="23"/>
      <c r="C166" s="23"/>
      <c r="F166" s="36"/>
      <c r="G166" s="37"/>
      <c r="I166" s="36"/>
      <c r="J166" s="37"/>
      <c r="K166" s="37"/>
    </row>
    <row r="167" ht="15.75" customHeight="1">
      <c r="B167" s="23"/>
      <c r="C167" s="23"/>
      <c r="F167" s="36"/>
      <c r="G167" s="37"/>
      <c r="I167" s="36"/>
      <c r="J167" s="37"/>
      <c r="K167" s="37"/>
    </row>
    <row r="168" ht="15.75" customHeight="1">
      <c r="B168" s="23"/>
      <c r="C168" s="23"/>
      <c r="F168" s="36"/>
      <c r="G168" s="37"/>
      <c r="I168" s="36"/>
      <c r="J168" s="37"/>
      <c r="K168" s="37"/>
    </row>
    <row r="169" ht="15.75" customHeight="1">
      <c r="B169" s="23"/>
      <c r="C169" s="23"/>
      <c r="F169" s="36"/>
      <c r="G169" s="37"/>
      <c r="I169" s="36"/>
      <c r="J169" s="37"/>
      <c r="K169" s="37"/>
    </row>
    <row r="170" ht="15.75" customHeight="1">
      <c r="B170" s="23"/>
      <c r="C170" s="23"/>
      <c r="F170" s="36"/>
      <c r="G170" s="37"/>
      <c r="I170" s="36"/>
      <c r="J170" s="37"/>
      <c r="K170" s="37"/>
    </row>
    <row r="171" ht="15.75" customHeight="1">
      <c r="B171" s="23"/>
      <c r="C171" s="23"/>
      <c r="F171" s="36"/>
      <c r="G171" s="37"/>
      <c r="I171" s="36"/>
      <c r="J171" s="37"/>
      <c r="K171" s="37"/>
    </row>
    <row r="172" ht="15.75" customHeight="1">
      <c r="B172" s="23"/>
      <c r="C172" s="23"/>
      <c r="F172" s="36"/>
      <c r="G172" s="37"/>
      <c r="I172" s="36"/>
      <c r="J172" s="37"/>
      <c r="K172" s="37"/>
    </row>
    <row r="173" ht="15.75" customHeight="1">
      <c r="B173" s="23"/>
      <c r="C173" s="23"/>
      <c r="F173" s="36"/>
      <c r="G173" s="37"/>
      <c r="I173" s="36"/>
      <c r="J173" s="37"/>
      <c r="K173" s="37"/>
    </row>
    <row r="174" ht="15.75" customHeight="1">
      <c r="B174" s="23"/>
      <c r="C174" s="23"/>
      <c r="F174" s="36"/>
      <c r="G174" s="37"/>
      <c r="I174" s="36"/>
      <c r="J174" s="37"/>
      <c r="K174" s="37"/>
    </row>
    <row r="175" ht="15.75" customHeight="1">
      <c r="B175" s="23"/>
      <c r="C175" s="23"/>
      <c r="F175" s="36"/>
      <c r="G175" s="37"/>
      <c r="I175" s="36"/>
      <c r="J175" s="37"/>
      <c r="K175" s="37"/>
    </row>
    <row r="176" ht="15.75" customHeight="1">
      <c r="B176" s="23"/>
      <c r="C176" s="23"/>
      <c r="F176" s="36"/>
      <c r="G176" s="37"/>
      <c r="I176" s="36"/>
      <c r="J176" s="37"/>
      <c r="K176" s="37"/>
    </row>
    <row r="177" ht="15.75" customHeight="1">
      <c r="B177" s="23"/>
      <c r="C177" s="23"/>
      <c r="F177" s="36"/>
      <c r="G177" s="37"/>
      <c r="I177" s="36"/>
      <c r="J177" s="37"/>
      <c r="K177" s="37"/>
    </row>
    <row r="178" ht="15.75" customHeight="1">
      <c r="B178" s="23"/>
      <c r="C178" s="23"/>
      <c r="F178" s="36"/>
      <c r="G178" s="37"/>
      <c r="I178" s="36"/>
      <c r="J178" s="37"/>
      <c r="K178" s="37"/>
    </row>
    <row r="179" ht="15.75" customHeight="1">
      <c r="B179" s="23"/>
      <c r="C179" s="23"/>
      <c r="F179" s="36"/>
      <c r="G179" s="37"/>
      <c r="I179" s="36"/>
      <c r="J179" s="37"/>
      <c r="K179" s="37"/>
    </row>
    <row r="180" ht="15.75" customHeight="1">
      <c r="B180" s="23"/>
      <c r="C180" s="23"/>
      <c r="F180" s="36"/>
      <c r="G180" s="37"/>
      <c r="I180" s="36"/>
      <c r="J180" s="37"/>
      <c r="K180" s="37"/>
    </row>
    <row r="181" ht="15.75" customHeight="1">
      <c r="B181" s="23"/>
      <c r="C181" s="23"/>
      <c r="F181" s="36"/>
      <c r="G181" s="37"/>
      <c r="I181" s="36"/>
      <c r="J181" s="37"/>
      <c r="K181" s="37"/>
    </row>
    <row r="182" ht="15.75" customHeight="1">
      <c r="B182" s="23"/>
      <c r="C182" s="23"/>
      <c r="F182" s="36"/>
      <c r="G182" s="37"/>
      <c r="I182" s="36"/>
      <c r="J182" s="37"/>
      <c r="K182" s="37"/>
    </row>
    <row r="183" ht="15.75" customHeight="1">
      <c r="B183" s="23"/>
      <c r="C183" s="23"/>
      <c r="F183" s="36"/>
      <c r="G183" s="37"/>
      <c r="I183" s="36"/>
      <c r="J183" s="37"/>
      <c r="K183" s="37"/>
    </row>
    <row r="184" ht="15.75" customHeight="1">
      <c r="B184" s="23"/>
      <c r="C184" s="23"/>
      <c r="F184" s="36"/>
      <c r="G184" s="37"/>
      <c r="I184" s="36"/>
      <c r="J184" s="37"/>
      <c r="K184" s="37"/>
    </row>
    <row r="185" ht="15.75" customHeight="1">
      <c r="B185" s="23"/>
      <c r="C185" s="23"/>
      <c r="F185" s="36"/>
      <c r="G185" s="37"/>
      <c r="I185" s="36"/>
      <c r="J185" s="37"/>
      <c r="K185" s="37"/>
    </row>
    <row r="186" ht="15.75" customHeight="1">
      <c r="B186" s="23"/>
      <c r="C186" s="23"/>
      <c r="F186" s="36"/>
      <c r="G186" s="37"/>
      <c r="I186" s="36"/>
      <c r="J186" s="37"/>
      <c r="K186" s="37"/>
    </row>
    <row r="187" ht="15.75" customHeight="1">
      <c r="B187" s="23"/>
      <c r="C187" s="23"/>
      <c r="F187" s="36"/>
      <c r="G187" s="37"/>
      <c r="I187" s="36"/>
      <c r="J187" s="37"/>
      <c r="K187" s="37"/>
    </row>
    <row r="188" ht="15.75" customHeight="1">
      <c r="B188" s="23"/>
      <c r="C188" s="23"/>
      <c r="F188" s="36"/>
      <c r="G188" s="37"/>
      <c r="I188" s="36"/>
      <c r="J188" s="37"/>
      <c r="K188" s="37"/>
    </row>
    <row r="189" ht="15.75" customHeight="1">
      <c r="B189" s="23"/>
      <c r="C189" s="23"/>
      <c r="F189" s="36"/>
      <c r="G189" s="37"/>
      <c r="I189" s="36"/>
      <c r="J189" s="37"/>
      <c r="K189" s="37"/>
    </row>
    <row r="190" ht="15.75" customHeight="1">
      <c r="B190" s="23"/>
      <c r="C190" s="23"/>
      <c r="F190" s="36"/>
      <c r="G190" s="37"/>
      <c r="I190" s="36"/>
      <c r="J190" s="37"/>
      <c r="K190" s="37"/>
    </row>
    <row r="191" ht="15.75" customHeight="1">
      <c r="B191" s="23"/>
      <c r="C191" s="23"/>
      <c r="F191" s="36"/>
      <c r="G191" s="37"/>
      <c r="I191" s="36"/>
      <c r="J191" s="37"/>
      <c r="K191" s="37"/>
    </row>
    <row r="192" ht="15.75" customHeight="1">
      <c r="B192" s="23"/>
      <c r="C192" s="23"/>
      <c r="F192" s="36"/>
      <c r="G192" s="37"/>
      <c r="I192" s="36"/>
      <c r="J192" s="37"/>
      <c r="K192" s="37"/>
    </row>
    <row r="193" ht="15.75" customHeight="1">
      <c r="B193" s="23"/>
      <c r="C193" s="23"/>
      <c r="F193" s="36"/>
      <c r="G193" s="37"/>
      <c r="I193" s="36"/>
      <c r="J193" s="37"/>
      <c r="K193" s="37"/>
    </row>
    <row r="194" ht="15.75" customHeight="1">
      <c r="B194" s="23"/>
      <c r="C194" s="23"/>
      <c r="F194" s="36"/>
      <c r="G194" s="37"/>
      <c r="I194" s="36"/>
      <c r="J194" s="37"/>
      <c r="K194" s="37"/>
    </row>
    <row r="195" ht="15.75" customHeight="1">
      <c r="B195" s="23"/>
      <c r="C195" s="23"/>
      <c r="F195" s="36"/>
      <c r="G195" s="37"/>
      <c r="I195" s="36"/>
      <c r="J195" s="37"/>
      <c r="K195" s="37"/>
    </row>
    <row r="196" ht="15.75" customHeight="1">
      <c r="B196" s="23"/>
      <c r="C196" s="23"/>
      <c r="F196" s="36"/>
      <c r="G196" s="37"/>
      <c r="I196" s="36"/>
      <c r="J196" s="37"/>
      <c r="K196" s="37"/>
    </row>
    <row r="197" ht="15.75" customHeight="1">
      <c r="B197" s="23"/>
      <c r="C197" s="23"/>
      <c r="F197" s="36"/>
      <c r="G197" s="37"/>
      <c r="I197" s="36"/>
      <c r="J197" s="37"/>
      <c r="K197" s="37"/>
    </row>
    <row r="198" ht="15.75" customHeight="1">
      <c r="B198" s="23"/>
      <c r="C198" s="23"/>
      <c r="F198" s="36"/>
      <c r="G198" s="37"/>
      <c r="I198" s="36"/>
      <c r="J198" s="37"/>
      <c r="K198" s="37"/>
    </row>
    <row r="199" ht="15.75" customHeight="1">
      <c r="B199" s="23"/>
      <c r="C199" s="23"/>
      <c r="F199" s="36"/>
      <c r="G199" s="37"/>
      <c r="I199" s="36"/>
      <c r="J199" s="37"/>
      <c r="K199" s="37"/>
    </row>
    <row r="200" ht="15.75" customHeight="1">
      <c r="B200" s="23"/>
      <c r="C200" s="23"/>
      <c r="F200" s="36"/>
      <c r="G200" s="37"/>
      <c r="I200" s="36"/>
      <c r="J200" s="37"/>
      <c r="K200" s="37"/>
    </row>
    <row r="201" ht="15.75" customHeight="1">
      <c r="B201" s="23"/>
      <c r="C201" s="23"/>
      <c r="F201" s="36"/>
      <c r="G201" s="37"/>
      <c r="I201" s="36"/>
      <c r="J201" s="37"/>
      <c r="K201" s="37"/>
    </row>
    <row r="202" ht="15.75" customHeight="1">
      <c r="B202" s="23"/>
      <c r="C202" s="23"/>
      <c r="F202" s="36"/>
      <c r="G202" s="37"/>
      <c r="I202" s="36"/>
      <c r="J202" s="37"/>
      <c r="K202" s="37"/>
    </row>
    <row r="203" ht="15.75" customHeight="1">
      <c r="B203" s="23"/>
      <c r="C203" s="23"/>
      <c r="F203" s="36"/>
      <c r="G203" s="37"/>
      <c r="I203" s="36"/>
      <c r="J203" s="37"/>
      <c r="K203" s="37"/>
    </row>
    <row r="204" ht="15.75" customHeight="1">
      <c r="B204" s="23"/>
      <c r="C204" s="23"/>
      <c r="F204" s="36"/>
      <c r="G204" s="37"/>
      <c r="I204" s="36"/>
      <c r="J204" s="37"/>
      <c r="K204" s="37"/>
    </row>
    <row r="205" ht="15.75" customHeight="1">
      <c r="B205" s="23"/>
      <c r="C205" s="23"/>
      <c r="F205" s="36"/>
      <c r="G205" s="37"/>
      <c r="I205" s="36"/>
      <c r="J205" s="37"/>
      <c r="K205" s="37"/>
    </row>
    <row r="206" ht="15.75" customHeight="1">
      <c r="B206" s="23"/>
      <c r="C206" s="23"/>
      <c r="F206" s="36"/>
      <c r="G206" s="37"/>
      <c r="I206" s="36"/>
      <c r="J206" s="37"/>
      <c r="K206" s="37"/>
    </row>
    <row r="207" ht="15.75" customHeight="1">
      <c r="B207" s="23"/>
      <c r="C207" s="23"/>
      <c r="F207" s="36"/>
      <c r="G207" s="37"/>
      <c r="I207" s="36"/>
      <c r="J207" s="37"/>
      <c r="K207" s="37"/>
    </row>
    <row r="208" ht="15.75" customHeight="1">
      <c r="B208" s="23"/>
      <c r="C208" s="23"/>
      <c r="F208" s="36"/>
      <c r="G208" s="37"/>
      <c r="I208" s="36"/>
      <c r="J208" s="37"/>
      <c r="K208" s="37"/>
    </row>
    <row r="209" ht="15.75" customHeight="1">
      <c r="B209" s="23"/>
      <c r="C209" s="23"/>
      <c r="F209" s="36"/>
      <c r="G209" s="37"/>
      <c r="I209" s="36"/>
      <c r="J209" s="37"/>
      <c r="K209" s="37"/>
    </row>
    <row r="210" ht="15.75" customHeight="1">
      <c r="B210" s="23"/>
      <c r="C210" s="23"/>
      <c r="F210" s="36"/>
      <c r="G210" s="37"/>
      <c r="I210" s="36"/>
      <c r="J210" s="37"/>
      <c r="K210" s="37"/>
    </row>
    <row r="211" ht="15.75" customHeight="1">
      <c r="B211" s="23"/>
      <c r="C211" s="23"/>
      <c r="F211" s="36"/>
      <c r="G211" s="37"/>
      <c r="I211" s="36"/>
      <c r="J211" s="37"/>
      <c r="K211" s="37"/>
    </row>
    <row r="212" ht="15.75" customHeight="1">
      <c r="B212" s="23"/>
      <c r="C212" s="23"/>
      <c r="F212" s="36"/>
      <c r="G212" s="37"/>
      <c r="I212" s="36"/>
      <c r="J212" s="37"/>
      <c r="K212" s="37"/>
    </row>
    <row r="213" ht="15.75" customHeight="1">
      <c r="B213" s="23"/>
      <c r="C213" s="23"/>
      <c r="F213" s="36"/>
      <c r="G213" s="37"/>
      <c r="I213" s="36"/>
      <c r="J213" s="37"/>
      <c r="K213" s="37"/>
    </row>
    <row r="214" ht="15.75" customHeight="1">
      <c r="B214" s="23"/>
      <c r="C214" s="23"/>
      <c r="F214" s="36"/>
      <c r="G214" s="37"/>
      <c r="I214" s="36"/>
      <c r="J214" s="37"/>
      <c r="K214" s="37"/>
    </row>
    <row r="215" ht="15.75" customHeight="1">
      <c r="B215" s="23"/>
      <c r="C215" s="23"/>
      <c r="F215" s="36"/>
      <c r="G215" s="37"/>
      <c r="I215" s="36"/>
      <c r="J215" s="37"/>
      <c r="K215" s="37"/>
    </row>
    <row r="216" ht="15.75" customHeight="1">
      <c r="B216" s="23"/>
      <c r="C216" s="23"/>
      <c r="F216" s="36"/>
      <c r="G216" s="37"/>
      <c r="I216" s="36"/>
      <c r="J216" s="37"/>
      <c r="K216" s="37"/>
    </row>
    <row r="217" ht="15.75" customHeight="1">
      <c r="B217" s="23"/>
      <c r="C217" s="23"/>
      <c r="F217" s="36"/>
      <c r="G217" s="37"/>
      <c r="I217" s="36"/>
      <c r="J217" s="37"/>
      <c r="K217" s="37"/>
    </row>
    <row r="218" ht="15.75" customHeight="1">
      <c r="B218" s="23"/>
      <c r="C218" s="23"/>
      <c r="F218" s="36"/>
      <c r="G218" s="37"/>
      <c r="I218" s="36"/>
      <c r="J218" s="37"/>
      <c r="K218" s="37"/>
    </row>
    <row r="219" ht="15.75" customHeight="1">
      <c r="B219" s="23"/>
      <c r="C219" s="23"/>
      <c r="F219" s="36"/>
      <c r="G219" s="37"/>
      <c r="I219" s="36"/>
      <c r="J219" s="37"/>
      <c r="K219" s="37"/>
    </row>
    <row r="220" ht="15.75" customHeight="1">
      <c r="B220" s="23"/>
      <c r="C220" s="23"/>
      <c r="F220" s="36"/>
      <c r="G220" s="37"/>
      <c r="I220" s="36"/>
      <c r="J220" s="37"/>
      <c r="K220" s="37"/>
    </row>
    <row r="221" ht="15.75" customHeight="1">
      <c r="B221" s="23"/>
      <c r="C221" s="23"/>
      <c r="F221" s="36"/>
      <c r="G221" s="37"/>
      <c r="I221" s="36"/>
      <c r="J221" s="37"/>
      <c r="K221" s="37"/>
    </row>
    <row r="222" ht="15.75" customHeight="1">
      <c r="B222" s="23"/>
      <c r="C222" s="23"/>
      <c r="F222" s="36"/>
      <c r="G222" s="37"/>
      <c r="I222" s="36"/>
      <c r="J222" s="37"/>
      <c r="K222" s="37"/>
    </row>
    <row r="223" ht="15.75" customHeight="1">
      <c r="B223" s="23"/>
      <c r="C223" s="23"/>
      <c r="F223" s="36"/>
      <c r="G223" s="37"/>
      <c r="I223" s="36"/>
      <c r="J223" s="37"/>
      <c r="K223" s="37"/>
    </row>
    <row r="224" ht="15.75" customHeight="1">
      <c r="B224" s="23"/>
      <c r="C224" s="23"/>
      <c r="F224" s="36"/>
      <c r="G224" s="37"/>
      <c r="I224" s="36"/>
      <c r="J224" s="37"/>
      <c r="K224" s="37"/>
    </row>
    <row r="225" ht="15.75" customHeight="1">
      <c r="B225" s="23"/>
      <c r="C225" s="23"/>
      <c r="F225" s="36"/>
      <c r="G225" s="37"/>
      <c r="I225" s="36"/>
      <c r="J225" s="37"/>
      <c r="K225" s="37"/>
    </row>
    <row r="226" ht="15.75" customHeight="1">
      <c r="B226" s="23"/>
      <c r="C226" s="23"/>
      <c r="F226" s="36"/>
      <c r="G226" s="37"/>
      <c r="I226" s="36"/>
      <c r="J226" s="37"/>
      <c r="K226" s="37"/>
    </row>
    <row r="227" ht="15.75" customHeight="1">
      <c r="B227" s="23"/>
      <c r="C227" s="23"/>
      <c r="F227" s="36"/>
      <c r="G227" s="37"/>
      <c r="I227" s="36"/>
      <c r="J227" s="37"/>
      <c r="K227" s="37"/>
    </row>
    <row r="228" ht="15.75" customHeight="1">
      <c r="B228" s="23"/>
      <c r="C228" s="23"/>
      <c r="F228" s="36"/>
      <c r="G228" s="37"/>
      <c r="I228" s="36"/>
      <c r="J228" s="37"/>
      <c r="K228" s="37"/>
    </row>
    <row r="229" ht="15.75" customHeight="1">
      <c r="B229" s="23"/>
      <c r="C229" s="23"/>
      <c r="F229" s="36"/>
      <c r="G229" s="37"/>
      <c r="I229" s="36"/>
      <c r="J229" s="37"/>
      <c r="K229" s="37"/>
    </row>
    <row r="230" ht="15.75" customHeight="1">
      <c r="B230" s="23"/>
      <c r="C230" s="23"/>
      <c r="F230" s="36"/>
      <c r="G230" s="37"/>
      <c r="I230" s="36"/>
      <c r="J230" s="37"/>
      <c r="K230" s="37"/>
    </row>
    <row r="231" ht="15.75" customHeight="1">
      <c r="B231" s="23"/>
      <c r="C231" s="23"/>
      <c r="F231" s="36"/>
      <c r="G231" s="37"/>
      <c r="I231" s="36"/>
      <c r="J231" s="37"/>
      <c r="K231" s="37"/>
    </row>
    <row r="232" ht="15.75" customHeight="1">
      <c r="B232" s="23"/>
      <c r="C232" s="23"/>
      <c r="F232" s="36"/>
      <c r="G232" s="37"/>
      <c r="I232" s="36"/>
      <c r="J232" s="37"/>
      <c r="K232" s="37"/>
    </row>
    <row r="233" ht="15.75" customHeight="1">
      <c r="B233" s="23"/>
      <c r="C233" s="23"/>
      <c r="F233" s="36"/>
      <c r="G233" s="37"/>
      <c r="I233" s="36"/>
      <c r="J233" s="37"/>
      <c r="K233" s="37"/>
    </row>
    <row r="234" ht="15.75" customHeight="1">
      <c r="B234" s="23"/>
      <c r="C234" s="23"/>
      <c r="F234" s="36"/>
      <c r="G234" s="37"/>
      <c r="I234" s="36"/>
      <c r="J234" s="37"/>
      <c r="K234" s="37"/>
    </row>
    <row r="235" ht="15.75" customHeight="1">
      <c r="B235" s="23"/>
      <c r="C235" s="23"/>
      <c r="F235" s="36"/>
      <c r="G235" s="37"/>
      <c r="I235" s="36"/>
      <c r="J235" s="37"/>
      <c r="K235" s="37"/>
    </row>
    <row r="236" ht="15.75" customHeight="1">
      <c r="B236" s="23"/>
      <c r="C236" s="23"/>
      <c r="F236" s="36"/>
      <c r="G236" s="37"/>
      <c r="I236" s="36"/>
      <c r="J236" s="37"/>
      <c r="K236" s="37"/>
    </row>
    <row r="237" ht="15.75" customHeight="1">
      <c r="B237" s="23"/>
      <c r="C237" s="23"/>
      <c r="F237" s="36"/>
      <c r="G237" s="37"/>
      <c r="I237" s="36"/>
      <c r="J237" s="37"/>
      <c r="K237" s="37"/>
    </row>
    <row r="238" ht="15.75" customHeight="1">
      <c r="B238" s="23"/>
      <c r="C238" s="23"/>
      <c r="F238" s="36"/>
      <c r="G238" s="37"/>
      <c r="I238" s="36"/>
      <c r="J238" s="37"/>
      <c r="K238" s="37"/>
    </row>
    <row r="239" ht="15.75" customHeight="1">
      <c r="B239" s="23"/>
      <c r="C239" s="23"/>
      <c r="F239" s="36"/>
      <c r="G239" s="37"/>
      <c r="I239" s="36"/>
      <c r="J239" s="37"/>
      <c r="K239" s="37"/>
    </row>
    <row r="240" ht="15.75" customHeight="1">
      <c r="B240" s="23"/>
      <c r="C240" s="23"/>
      <c r="F240" s="36"/>
      <c r="G240" s="37"/>
      <c r="I240" s="36"/>
      <c r="J240" s="37"/>
      <c r="K240" s="37"/>
    </row>
    <row r="241" ht="15.75" customHeight="1">
      <c r="B241" s="23"/>
      <c r="C241" s="23"/>
      <c r="F241" s="36"/>
      <c r="G241" s="37"/>
      <c r="I241" s="36"/>
      <c r="J241" s="37"/>
      <c r="K241" s="37"/>
    </row>
    <row r="242" ht="15.75" customHeight="1">
      <c r="F242" s="36"/>
      <c r="G242" s="36"/>
      <c r="I242" s="36"/>
      <c r="J242" s="36"/>
      <c r="K242" s="36"/>
    </row>
    <row r="243" ht="15.75" customHeight="1">
      <c r="F243" s="36"/>
      <c r="G243" s="36"/>
      <c r="I243" s="36"/>
      <c r="J243" s="36"/>
      <c r="K243" s="36"/>
    </row>
    <row r="244" ht="15.75" customHeight="1">
      <c r="F244" s="36"/>
      <c r="G244" s="36"/>
      <c r="I244" s="36"/>
      <c r="J244" s="36"/>
      <c r="K244" s="36"/>
    </row>
    <row r="245" ht="15.75" customHeight="1">
      <c r="F245" s="36"/>
      <c r="G245" s="36"/>
      <c r="I245" s="36"/>
      <c r="J245" s="36"/>
      <c r="K245" s="36"/>
    </row>
    <row r="246" ht="15.75" customHeight="1">
      <c r="F246" s="36"/>
      <c r="G246" s="36"/>
      <c r="I246" s="36"/>
      <c r="J246" s="36"/>
      <c r="K246" s="36"/>
    </row>
    <row r="247" ht="15.75" customHeight="1">
      <c r="F247" s="36"/>
      <c r="G247" s="36"/>
      <c r="I247" s="36"/>
      <c r="J247" s="36"/>
      <c r="K247" s="36"/>
    </row>
    <row r="248" ht="15.75" customHeight="1">
      <c r="F248" s="36"/>
      <c r="G248" s="36"/>
      <c r="I248" s="36"/>
      <c r="J248" s="36"/>
      <c r="K248" s="36"/>
    </row>
    <row r="249" ht="15.75" customHeight="1">
      <c r="F249" s="36"/>
      <c r="G249" s="36"/>
      <c r="I249" s="36"/>
      <c r="J249" s="36"/>
      <c r="K249" s="36"/>
    </row>
    <row r="250" ht="15.75" customHeight="1">
      <c r="F250" s="36"/>
      <c r="G250" s="36"/>
      <c r="I250" s="36"/>
      <c r="J250" s="36"/>
      <c r="K250" s="36"/>
    </row>
    <row r="251" ht="15.75" customHeight="1">
      <c r="F251" s="36"/>
      <c r="G251" s="36"/>
      <c r="I251" s="36"/>
      <c r="J251" s="36"/>
      <c r="K251" s="36"/>
    </row>
    <row r="252" ht="15.75" customHeight="1">
      <c r="F252" s="36"/>
      <c r="G252" s="36"/>
      <c r="I252" s="36"/>
      <c r="J252" s="36"/>
      <c r="K252" s="36"/>
    </row>
    <row r="253" ht="15.75" customHeight="1">
      <c r="F253" s="36"/>
      <c r="G253" s="36"/>
      <c r="I253" s="36"/>
      <c r="J253" s="36"/>
      <c r="K253" s="36"/>
    </row>
    <row r="254" ht="15.75" customHeight="1">
      <c r="F254" s="36"/>
      <c r="G254" s="36"/>
      <c r="I254" s="36"/>
      <c r="J254" s="36"/>
      <c r="K254" s="36"/>
    </row>
    <row r="255" ht="15.75" customHeight="1">
      <c r="F255" s="36"/>
      <c r="G255" s="36"/>
      <c r="I255" s="36"/>
      <c r="J255" s="36"/>
      <c r="K255" s="36"/>
    </row>
    <row r="256" ht="15.75" customHeight="1">
      <c r="F256" s="36"/>
      <c r="G256" s="36"/>
      <c r="I256" s="36"/>
      <c r="J256" s="36"/>
      <c r="K256" s="36"/>
    </row>
    <row r="257" ht="15.75" customHeight="1">
      <c r="F257" s="36"/>
      <c r="G257" s="36"/>
      <c r="I257" s="36"/>
      <c r="J257" s="36"/>
      <c r="K257" s="36"/>
    </row>
    <row r="258" ht="15.75" customHeight="1">
      <c r="F258" s="36"/>
      <c r="G258" s="36"/>
      <c r="I258" s="36"/>
      <c r="J258" s="36"/>
      <c r="K258" s="36"/>
    </row>
    <row r="259" ht="15.75" customHeight="1">
      <c r="F259" s="36"/>
      <c r="G259" s="36"/>
      <c r="I259" s="36"/>
      <c r="J259" s="36"/>
      <c r="K259" s="36"/>
    </row>
    <row r="260" ht="15.75" customHeight="1">
      <c r="F260" s="36"/>
      <c r="G260" s="36"/>
      <c r="I260" s="36"/>
      <c r="J260" s="36"/>
      <c r="K260" s="36"/>
    </row>
    <row r="261" ht="15.75" customHeight="1">
      <c r="F261" s="36"/>
      <c r="G261" s="36"/>
      <c r="I261" s="36"/>
      <c r="J261" s="36"/>
      <c r="K261" s="36"/>
    </row>
    <row r="262" ht="15.75" customHeight="1">
      <c r="F262" s="36"/>
      <c r="G262" s="36"/>
      <c r="I262" s="36"/>
      <c r="J262" s="36"/>
      <c r="K262" s="36"/>
    </row>
    <row r="263" ht="15.75" customHeight="1">
      <c r="F263" s="36"/>
      <c r="G263" s="36"/>
      <c r="I263" s="36"/>
      <c r="J263" s="36"/>
      <c r="K263" s="36"/>
    </row>
    <row r="264" ht="15.75" customHeight="1">
      <c r="F264" s="36"/>
      <c r="G264" s="36"/>
      <c r="I264" s="36"/>
      <c r="J264" s="36"/>
      <c r="K264" s="36"/>
    </row>
    <row r="265" ht="15.75" customHeight="1">
      <c r="F265" s="36"/>
      <c r="G265" s="36"/>
      <c r="I265" s="36"/>
      <c r="J265" s="36"/>
      <c r="K265" s="36"/>
    </row>
    <row r="266" ht="15.75" customHeight="1">
      <c r="F266" s="36"/>
      <c r="G266" s="36"/>
      <c r="I266" s="36"/>
      <c r="J266" s="36"/>
      <c r="K266" s="36"/>
    </row>
    <row r="267" ht="15.75" customHeight="1">
      <c r="F267" s="36"/>
      <c r="G267" s="36"/>
      <c r="I267" s="36"/>
      <c r="J267" s="36"/>
      <c r="K267" s="36"/>
    </row>
    <row r="268" ht="15.75" customHeight="1">
      <c r="F268" s="36"/>
      <c r="G268" s="36"/>
      <c r="I268" s="36"/>
      <c r="J268" s="36"/>
      <c r="K268" s="36"/>
    </row>
    <row r="269" ht="15.75" customHeight="1">
      <c r="F269" s="36"/>
      <c r="G269" s="36"/>
      <c r="I269" s="36"/>
      <c r="J269" s="36"/>
      <c r="K269" s="36"/>
    </row>
    <row r="270" ht="15.75" customHeight="1">
      <c r="F270" s="36"/>
      <c r="G270" s="36"/>
      <c r="I270" s="36"/>
      <c r="J270" s="36"/>
      <c r="K270" s="36"/>
    </row>
    <row r="271" ht="15.75" customHeight="1">
      <c r="F271" s="36"/>
      <c r="G271" s="36"/>
      <c r="I271" s="36"/>
      <c r="J271" s="36"/>
      <c r="K271" s="36"/>
    </row>
    <row r="272" ht="15.75" customHeight="1">
      <c r="F272" s="36"/>
      <c r="G272" s="36"/>
      <c r="I272" s="36"/>
      <c r="J272" s="36"/>
      <c r="K272" s="36"/>
    </row>
    <row r="273" ht="15.75" customHeight="1">
      <c r="F273" s="36"/>
      <c r="G273" s="36"/>
      <c r="I273" s="36"/>
      <c r="J273" s="36"/>
      <c r="K273" s="36"/>
    </row>
    <row r="274" ht="15.75" customHeight="1">
      <c r="F274" s="36"/>
      <c r="G274" s="36"/>
      <c r="I274" s="36"/>
      <c r="J274" s="36"/>
      <c r="K274" s="36"/>
    </row>
    <row r="275" ht="15.75" customHeight="1">
      <c r="F275" s="36"/>
      <c r="G275" s="36"/>
      <c r="I275" s="36"/>
      <c r="J275" s="36"/>
      <c r="K275" s="36"/>
    </row>
    <row r="276" ht="15.75" customHeight="1">
      <c r="F276" s="36"/>
      <c r="G276" s="36"/>
      <c r="I276" s="36"/>
      <c r="J276" s="36"/>
      <c r="K276" s="36"/>
    </row>
    <row r="277" ht="15.75" customHeight="1">
      <c r="F277" s="36"/>
      <c r="G277" s="36"/>
      <c r="I277" s="36"/>
      <c r="J277" s="36"/>
      <c r="K277" s="36"/>
    </row>
    <row r="278" ht="15.75" customHeight="1">
      <c r="F278" s="36"/>
      <c r="G278" s="36"/>
      <c r="I278" s="36"/>
      <c r="J278" s="36"/>
      <c r="K278" s="36"/>
    </row>
    <row r="279" ht="15.75" customHeight="1">
      <c r="F279" s="36"/>
      <c r="G279" s="36"/>
      <c r="I279" s="36"/>
      <c r="J279" s="36"/>
      <c r="K279" s="36"/>
    </row>
    <row r="280" ht="15.75" customHeight="1">
      <c r="F280" s="36"/>
      <c r="G280" s="36"/>
      <c r="I280" s="36"/>
      <c r="J280" s="36"/>
      <c r="K280" s="36"/>
    </row>
    <row r="281" ht="15.75" customHeight="1">
      <c r="F281" s="36"/>
      <c r="G281" s="36"/>
      <c r="I281" s="36"/>
      <c r="J281" s="36"/>
      <c r="K281" s="36"/>
    </row>
    <row r="282" ht="15.75" customHeight="1">
      <c r="F282" s="36"/>
      <c r="G282" s="36"/>
      <c r="I282" s="36"/>
      <c r="J282" s="36"/>
      <c r="K282" s="36"/>
    </row>
    <row r="283" ht="15.75" customHeight="1">
      <c r="F283" s="36"/>
      <c r="G283" s="36"/>
      <c r="I283" s="36"/>
      <c r="J283" s="36"/>
      <c r="K283" s="36"/>
    </row>
    <row r="284" ht="15.75" customHeight="1">
      <c r="F284" s="36"/>
      <c r="G284" s="36"/>
      <c r="I284" s="36"/>
      <c r="J284" s="36"/>
      <c r="K284" s="36"/>
    </row>
    <row r="285" ht="15.75" customHeight="1">
      <c r="F285" s="36"/>
      <c r="G285" s="36"/>
      <c r="I285" s="36"/>
      <c r="J285" s="36"/>
      <c r="K285" s="36"/>
    </row>
    <row r="286" ht="15.75" customHeight="1">
      <c r="F286" s="36"/>
      <c r="G286" s="36"/>
      <c r="I286" s="36"/>
      <c r="J286" s="36"/>
      <c r="K286" s="36"/>
    </row>
    <row r="287" ht="15.75" customHeight="1">
      <c r="F287" s="36"/>
      <c r="G287" s="36"/>
      <c r="I287" s="36"/>
      <c r="J287" s="36"/>
      <c r="K287" s="36"/>
    </row>
    <row r="288" ht="15.75" customHeight="1">
      <c r="F288" s="36"/>
      <c r="G288" s="36"/>
      <c r="I288" s="36"/>
      <c r="J288" s="36"/>
      <c r="K288" s="36"/>
    </row>
    <row r="289" ht="15.75" customHeight="1">
      <c r="F289" s="36"/>
      <c r="G289" s="36"/>
      <c r="I289" s="36"/>
      <c r="J289" s="36"/>
      <c r="K289" s="36"/>
    </row>
    <row r="290" ht="15.75" customHeight="1">
      <c r="F290" s="36"/>
      <c r="G290" s="36"/>
      <c r="I290" s="36"/>
      <c r="J290" s="36"/>
      <c r="K290" s="36"/>
    </row>
    <row r="291" ht="15.75" customHeight="1">
      <c r="F291" s="36"/>
      <c r="G291" s="36"/>
      <c r="I291" s="36"/>
      <c r="J291" s="36"/>
      <c r="K291" s="36"/>
    </row>
    <row r="292" ht="15.75" customHeight="1">
      <c r="F292" s="36"/>
      <c r="G292" s="36"/>
      <c r="I292" s="36"/>
      <c r="J292" s="36"/>
      <c r="K292" s="36"/>
    </row>
    <row r="293" ht="15.75" customHeight="1">
      <c r="F293" s="36"/>
      <c r="G293" s="36"/>
      <c r="I293" s="36"/>
      <c r="J293" s="36"/>
      <c r="K293" s="36"/>
    </row>
    <row r="294" ht="15.75" customHeight="1">
      <c r="F294" s="36"/>
      <c r="G294" s="36"/>
      <c r="I294" s="36"/>
      <c r="J294" s="36"/>
      <c r="K294" s="36"/>
    </row>
    <row r="295" ht="15.75" customHeight="1">
      <c r="F295" s="36"/>
      <c r="G295" s="36"/>
      <c r="I295" s="36"/>
      <c r="J295" s="36"/>
      <c r="K295" s="36"/>
    </row>
    <row r="296" ht="15.75" customHeight="1">
      <c r="F296" s="36"/>
      <c r="G296" s="36"/>
      <c r="I296" s="36"/>
      <c r="J296" s="36"/>
      <c r="K296" s="36"/>
    </row>
    <row r="297" ht="15.75" customHeight="1">
      <c r="F297" s="36"/>
      <c r="G297" s="36"/>
      <c r="I297" s="36"/>
      <c r="J297" s="36"/>
      <c r="K297" s="36"/>
    </row>
    <row r="298" ht="15.75" customHeight="1">
      <c r="F298" s="36"/>
      <c r="G298" s="36"/>
      <c r="I298" s="36"/>
      <c r="J298" s="36"/>
      <c r="K298" s="36"/>
    </row>
    <row r="299" ht="15.75" customHeight="1">
      <c r="F299" s="36"/>
      <c r="G299" s="36"/>
      <c r="I299" s="36"/>
      <c r="J299" s="36"/>
      <c r="K299" s="36"/>
    </row>
    <row r="300" ht="15.75" customHeight="1">
      <c r="F300" s="36"/>
      <c r="G300" s="36"/>
      <c r="I300" s="36"/>
      <c r="J300" s="36"/>
      <c r="K300" s="36"/>
    </row>
    <row r="301" ht="15.75" customHeight="1">
      <c r="F301" s="36"/>
      <c r="G301" s="36"/>
      <c r="I301" s="36"/>
      <c r="J301" s="36"/>
      <c r="K301" s="36"/>
    </row>
    <row r="302" ht="15.75" customHeight="1">
      <c r="F302" s="36"/>
      <c r="G302" s="36"/>
      <c r="I302" s="36"/>
      <c r="J302" s="36"/>
      <c r="K302" s="36"/>
    </row>
    <row r="303" ht="15.75" customHeight="1">
      <c r="F303" s="36"/>
      <c r="G303" s="36"/>
      <c r="I303" s="36"/>
      <c r="J303" s="36"/>
      <c r="K303" s="36"/>
    </row>
    <row r="304" ht="15.75" customHeight="1">
      <c r="F304" s="36"/>
      <c r="G304" s="36"/>
      <c r="I304" s="36"/>
      <c r="J304" s="36"/>
      <c r="K304" s="36"/>
    </row>
    <row r="305" ht="15.75" customHeight="1">
      <c r="F305" s="36"/>
      <c r="G305" s="36"/>
      <c r="I305" s="36"/>
      <c r="J305" s="36"/>
      <c r="K305" s="36"/>
    </row>
    <row r="306" ht="15.75" customHeight="1">
      <c r="F306" s="36"/>
      <c r="G306" s="36"/>
      <c r="I306" s="36"/>
      <c r="J306" s="36"/>
      <c r="K306" s="36"/>
    </row>
    <row r="307" ht="15.75" customHeight="1">
      <c r="F307" s="36"/>
      <c r="G307" s="36"/>
      <c r="I307" s="36"/>
      <c r="J307" s="36"/>
      <c r="K307" s="36"/>
    </row>
    <row r="308" ht="15.75" customHeight="1">
      <c r="F308" s="36"/>
      <c r="G308" s="36"/>
      <c r="I308" s="36"/>
      <c r="J308" s="36"/>
      <c r="K308" s="36"/>
    </row>
    <row r="309" ht="15.75" customHeight="1">
      <c r="F309" s="36"/>
      <c r="G309" s="36"/>
      <c r="I309" s="36"/>
      <c r="J309" s="36"/>
      <c r="K309" s="36"/>
    </row>
    <row r="310" ht="15.75" customHeight="1">
      <c r="F310" s="36"/>
      <c r="G310" s="36"/>
      <c r="I310" s="36"/>
      <c r="J310" s="36"/>
      <c r="K310" s="36"/>
    </row>
    <row r="311" ht="15.75" customHeight="1">
      <c r="F311" s="36"/>
      <c r="G311" s="36"/>
      <c r="I311" s="36"/>
      <c r="J311" s="36"/>
      <c r="K311" s="36"/>
    </row>
    <row r="312" ht="15.75" customHeight="1">
      <c r="F312" s="36"/>
      <c r="G312" s="36"/>
      <c r="I312" s="36"/>
      <c r="J312" s="36"/>
      <c r="K312" s="36"/>
    </row>
    <row r="313" ht="15.75" customHeight="1">
      <c r="F313" s="36"/>
      <c r="G313" s="36"/>
      <c r="I313" s="36"/>
      <c r="J313" s="36"/>
      <c r="K313" s="36"/>
    </row>
    <row r="314" ht="15.75" customHeight="1">
      <c r="F314" s="36"/>
      <c r="G314" s="36"/>
      <c r="I314" s="36"/>
      <c r="J314" s="36"/>
      <c r="K314" s="36"/>
    </row>
    <row r="315" ht="15.75" customHeight="1">
      <c r="F315" s="36"/>
      <c r="G315" s="36"/>
      <c r="I315" s="36"/>
      <c r="J315" s="36"/>
      <c r="K315" s="36"/>
    </row>
    <row r="316" ht="15.75" customHeight="1">
      <c r="F316" s="36"/>
      <c r="G316" s="36"/>
      <c r="I316" s="36"/>
      <c r="J316" s="36"/>
      <c r="K316" s="36"/>
    </row>
    <row r="317" ht="15.75" customHeight="1">
      <c r="F317" s="36"/>
      <c r="G317" s="36"/>
      <c r="I317" s="36"/>
      <c r="J317" s="36"/>
      <c r="K317" s="36"/>
    </row>
    <row r="318" ht="15.75" customHeight="1">
      <c r="F318" s="36"/>
      <c r="G318" s="36"/>
      <c r="I318" s="36"/>
      <c r="J318" s="36"/>
      <c r="K318" s="36"/>
    </row>
    <row r="319" ht="15.75" customHeight="1">
      <c r="F319" s="36"/>
      <c r="G319" s="36"/>
      <c r="I319" s="36"/>
      <c r="J319" s="36"/>
      <c r="K319" s="36"/>
    </row>
    <row r="320" ht="15.75" customHeight="1">
      <c r="F320" s="36"/>
      <c r="G320" s="36"/>
      <c r="I320" s="36"/>
      <c r="J320" s="36"/>
      <c r="K320" s="36"/>
    </row>
    <row r="321" ht="15.75" customHeight="1">
      <c r="F321" s="36"/>
      <c r="G321" s="36"/>
      <c r="I321" s="36"/>
      <c r="J321" s="36"/>
      <c r="K321" s="36"/>
    </row>
    <row r="322" ht="15.75" customHeight="1">
      <c r="F322" s="36"/>
      <c r="G322" s="36"/>
      <c r="I322" s="36"/>
      <c r="J322" s="36"/>
      <c r="K322" s="36"/>
    </row>
    <row r="323" ht="15.75" customHeight="1">
      <c r="F323" s="36"/>
      <c r="G323" s="36"/>
      <c r="I323" s="36"/>
      <c r="J323" s="36"/>
      <c r="K323" s="36"/>
    </row>
    <row r="324" ht="15.75" customHeight="1">
      <c r="F324" s="36"/>
      <c r="G324" s="36"/>
      <c r="I324" s="36"/>
      <c r="J324" s="36"/>
      <c r="K324" s="36"/>
    </row>
    <row r="325" ht="15.75" customHeight="1">
      <c r="F325" s="36"/>
      <c r="G325" s="36"/>
      <c r="I325" s="36"/>
      <c r="J325" s="36"/>
      <c r="K325" s="36"/>
    </row>
    <row r="326" ht="15.75" customHeight="1">
      <c r="F326" s="36"/>
      <c r="G326" s="36"/>
      <c r="I326" s="36"/>
      <c r="J326" s="36"/>
      <c r="K326" s="36"/>
    </row>
    <row r="327" ht="15.75" customHeight="1">
      <c r="F327" s="36"/>
      <c r="G327" s="36"/>
      <c r="I327" s="36"/>
      <c r="J327" s="36"/>
      <c r="K327" s="36"/>
    </row>
    <row r="328" ht="15.75" customHeight="1">
      <c r="F328" s="36"/>
      <c r="G328" s="36"/>
      <c r="I328" s="36"/>
      <c r="J328" s="36"/>
      <c r="K328" s="36"/>
    </row>
    <row r="329" ht="15.75" customHeight="1">
      <c r="F329" s="36"/>
      <c r="G329" s="36"/>
      <c r="I329" s="36"/>
      <c r="J329" s="36"/>
      <c r="K329" s="36"/>
    </row>
    <row r="330" ht="15.75" customHeight="1">
      <c r="F330" s="36"/>
      <c r="G330" s="36"/>
      <c r="I330" s="36"/>
      <c r="J330" s="36"/>
      <c r="K330" s="36"/>
    </row>
    <row r="331" ht="15.75" customHeight="1">
      <c r="F331" s="36"/>
      <c r="G331" s="36"/>
      <c r="I331" s="36"/>
      <c r="J331" s="36"/>
      <c r="K331" s="36"/>
    </row>
    <row r="332" ht="15.75" customHeight="1">
      <c r="F332" s="36"/>
      <c r="G332" s="36"/>
      <c r="I332" s="36"/>
      <c r="J332" s="36"/>
      <c r="K332" s="36"/>
    </row>
    <row r="333" ht="15.75" customHeight="1">
      <c r="F333" s="36"/>
      <c r="G333" s="36"/>
      <c r="I333" s="36"/>
      <c r="J333" s="36"/>
      <c r="K333" s="36"/>
    </row>
    <row r="334" ht="15.75" customHeight="1">
      <c r="F334" s="36"/>
      <c r="G334" s="36"/>
      <c r="I334" s="36"/>
      <c r="J334" s="36"/>
      <c r="K334" s="36"/>
    </row>
    <row r="335" ht="15.75" customHeight="1">
      <c r="F335" s="36"/>
      <c r="G335" s="36"/>
      <c r="I335" s="36"/>
      <c r="J335" s="36"/>
      <c r="K335" s="36"/>
    </row>
    <row r="336" ht="15.75" customHeight="1">
      <c r="F336" s="36"/>
      <c r="G336" s="36"/>
      <c r="I336" s="36"/>
      <c r="J336" s="36"/>
      <c r="K336" s="36"/>
    </row>
    <row r="337" ht="15.75" customHeight="1">
      <c r="F337" s="36"/>
      <c r="G337" s="36"/>
      <c r="I337" s="36"/>
      <c r="J337" s="36"/>
      <c r="K337" s="36"/>
    </row>
    <row r="338" ht="15.75" customHeight="1">
      <c r="F338" s="36"/>
      <c r="G338" s="36"/>
      <c r="I338" s="36"/>
      <c r="J338" s="36"/>
      <c r="K338" s="36"/>
    </row>
    <row r="339" ht="15.75" customHeight="1">
      <c r="F339" s="36"/>
      <c r="G339" s="36"/>
      <c r="I339" s="36"/>
      <c r="J339" s="36"/>
      <c r="K339" s="36"/>
    </row>
    <row r="340" ht="15.75" customHeight="1">
      <c r="F340" s="36"/>
      <c r="G340" s="36"/>
      <c r="I340" s="36"/>
      <c r="J340" s="36"/>
      <c r="K340" s="36"/>
    </row>
    <row r="341" ht="15.75" customHeight="1">
      <c r="F341" s="36"/>
      <c r="G341" s="36"/>
      <c r="I341" s="36"/>
      <c r="J341" s="36"/>
      <c r="K341" s="36"/>
    </row>
    <row r="342" ht="15.75" customHeight="1">
      <c r="F342" s="36"/>
      <c r="G342" s="36"/>
      <c r="I342" s="36"/>
      <c r="J342" s="36"/>
      <c r="K342" s="36"/>
    </row>
    <row r="343" ht="15.75" customHeight="1">
      <c r="F343" s="36"/>
      <c r="G343" s="36"/>
      <c r="I343" s="36"/>
      <c r="J343" s="36"/>
      <c r="K343" s="36"/>
    </row>
    <row r="344" ht="15.75" customHeight="1">
      <c r="F344" s="36"/>
      <c r="G344" s="36"/>
      <c r="I344" s="36"/>
      <c r="J344" s="36"/>
      <c r="K344" s="36"/>
    </row>
    <row r="345" ht="15.75" customHeight="1">
      <c r="F345" s="36"/>
      <c r="G345" s="36"/>
      <c r="I345" s="36"/>
      <c r="J345" s="36"/>
      <c r="K345" s="36"/>
    </row>
    <row r="346" ht="15.75" customHeight="1">
      <c r="F346" s="36"/>
      <c r="G346" s="36"/>
      <c r="I346" s="36"/>
      <c r="J346" s="36"/>
      <c r="K346" s="36"/>
    </row>
    <row r="347" ht="15.75" customHeight="1">
      <c r="F347" s="36"/>
      <c r="G347" s="36"/>
      <c r="I347" s="36"/>
      <c r="J347" s="36"/>
      <c r="K347" s="36"/>
    </row>
    <row r="348" ht="15.75" customHeight="1">
      <c r="F348" s="36"/>
      <c r="G348" s="36"/>
      <c r="I348" s="36"/>
      <c r="J348" s="36"/>
      <c r="K348" s="36"/>
    </row>
    <row r="349" ht="15.75" customHeight="1">
      <c r="F349" s="36"/>
      <c r="G349" s="36"/>
      <c r="I349" s="36"/>
      <c r="J349" s="36"/>
      <c r="K349" s="36"/>
    </row>
    <row r="350" ht="15.75" customHeight="1">
      <c r="F350" s="36"/>
      <c r="G350" s="36"/>
      <c r="I350" s="36"/>
      <c r="J350" s="36"/>
      <c r="K350" s="36"/>
    </row>
    <row r="351" ht="15.75" customHeight="1">
      <c r="F351" s="36"/>
      <c r="G351" s="36"/>
      <c r="I351" s="36"/>
      <c r="J351" s="36"/>
      <c r="K351" s="36"/>
    </row>
    <row r="352" ht="15.75" customHeight="1">
      <c r="F352" s="36"/>
      <c r="G352" s="36"/>
      <c r="I352" s="36"/>
      <c r="J352" s="36"/>
      <c r="K352" s="36"/>
    </row>
    <row r="353" ht="15.75" customHeight="1">
      <c r="F353" s="36"/>
      <c r="G353" s="36"/>
      <c r="I353" s="36"/>
      <c r="J353" s="36"/>
      <c r="K353" s="36"/>
    </row>
    <row r="354" ht="15.75" customHeight="1">
      <c r="F354" s="36"/>
      <c r="G354" s="36"/>
      <c r="I354" s="36"/>
      <c r="J354" s="36"/>
      <c r="K354" s="36"/>
    </row>
    <row r="355" ht="15.75" customHeight="1">
      <c r="F355" s="36"/>
      <c r="G355" s="36"/>
      <c r="I355" s="36"/>
      <c r="J355" s="36"/>
      <c r="K355" s="36"/>
    </row>
    <row r="356" ht="15.75" customHeight="1">
      <c r="F356" s="36"/>
      <c r="G356" s="36"/>
      <c r="I356" s="36"/>
      <c r="J356" s="36"/>
      <c r="K356" s="36"/>
    </row>
    <row r="357" ht="15.75" customHeight="1">
      <c r="F357" s="36"/>
      <c r="G357" s="36"/>
      <c r="I357" s="36"/>
      <c r="J357" s="36"/>
      <c r="K357" s="36"/>
    </row>
    <row r="358" ht="15.75" customHeight="1">
      <c r="F358" s="36"/>
      <c r="G358" s="36"/>
      <c r="I358" s="36"/>
      <c r="J358" s="36"/>
      <c r="K358" s="36"/>
    </row>
    <row r="359" ht="15.75" customHeight="1">
      <c r="F359" s="36"/>
      <c r="G359" s="36"/>
      <c r="I359" s="36"/>
      <c r="J359" s="36"/>
      <c r="K359" s="36"/>
    </row>
    <row r="360" ht="15.75" customHeight="1">
      <c r="F360" s="36"/>
      <c r="G360" s="36"/>
      <c r="I360" s="36"/>
      <c r="J360" s="36"/>
      <c r="K360" s="36"/>
    </row>
    <row r="361" ht="15.75" customHeight="1">
      <c r="F361" s="36"/>
      <c r="G361" s="36"/>
      <c r="I361" s="36"/>
      <c r="J361" s="36"/>
      <c r="K361" s="36"/>
    </row>
    <row r="362" ht="15.75" customHeight="1">
      <c r="F362" s="36"/>
      <c r="G362" s="36"/>
      <c r="I362" s="36"/>
      <c r="J362" s="36"/>
      <c r="K362" s="36"/>
    </row>
    <row r="363" ht="15.75" customHeight="1">
      <c r="F363" s="36"/>
      <c r="G363" s="36"/>
      <c r="I363" s="36"/>
      <c r="J363" s="36"/>
      <c r="K363" s="36"/>
    </row>
    <row r="364" ht="15.75" customHeight="1">
      <c r="F364" s="36"/>
      <c r="G364" s="36"/>
      <c r="I364" s="36"/>
      <c r="J364" s="36"/>
      <c r="K364" s="36"/>
    </row>
    <row r="365" ht="15.75" customHeight="1">
      <c r="F365" s="36"/>
      <c r="G365" s="36"/>
      <c r="I365" s="36"/>
      <c r="J365" s="36"/>
      <c r="K365" s="36"/>
    </row>
    <row r="366" ht="15.75" customHeight="1">
      <c r="F366" s="36"/>
      <c r="G366" s="36"/>
      <c r="I366" s="36"/>
      <c r="J366" s="36"/>
      <c r="K366" s="36"/>
    </row>
    <row r="367" ht="15.75" customHeight="1">
      <c r="F367" s="36"/>
      <c r="G367" s="36"/>
      <c r="I367" s="36"/>
      <c r="J367" s="36"/>
      <c r="K367" s="36"/>
    </row>
    <row r="368" ht="15.75" customHeight="1">
      <c r="F368" s="36"/>
      <c r="G368" s="36"/>
      <c r="I368" s="36"/>
      <c r="J368" s="36"/>
      <c r="K368" s="36"/>
    </row>
    <row r="369" ht="15.75" customHeight="1">
      <c r="F369" s="36"/>
      <c r="G369" s="36"/>
      <c r="I369" s="36"/>
      <c r="J369" s="36"/>
      <c r="K369" s="36"/>
    </row>
    <row r="370" ht="15.75" customHeight="1">
      <c r="F370" s="36"/>
      <c r="G370" s="36"/>
      <c r="I370" s="36"/>
      <c r="J370" s="36"/>
      <c r="K370" s="36"/>
    </row>
    <row r="371" ht="15.75" customHeight="1">
      <c r="F371" s="36"/>
      <c r="G371" s="36"/>
      <c r="I371" s="36"/>
      <c r="J371" s="36"/>
      <c r="K371" s="36"/>
    </row>
    <row r="372" ht="15.75" customHeight="1">
      <c r="F372" s="36"/>
      <c r="G372" s="36"/>
      <c r="I372" s="36"/>
      <c r="J372" s="36"/>
      <c r="K372" s="36"/>
    </row>
    <row r="373" ht="15.75" customHeight="1">
      <c r="F373" s="36"/>
      <c r="G373" s="36"/>
      <c r="I373" s="36"/>
      <c r="J373" s="36"/>
      <c r="K373" s="36"/>
    </row>
    <row r="374" ht="15.75" customHeight="1">
      <c r="F374" s="36"/>
      <c r="G374" s="36"/>
      <c r="I374" s="36"/>
      <c r="J374" s="36"/>
      <c r="K374" s="36"/>
    </row>
    <row r="375" ht="15.75" customHeight="1">
      <c r="F375" s="36"/>
      <c r="G375" s="36"/>
      <c r="I375" s="36"/>
      <c r="J375" s="36"/>
      <c r="K375" s="36"/>
    </row>
    <row r="376" ht="15.75" customHeight="1">
      <c r="F376" s="36"/>
      <c r="G376" s="36"/>
      <c r="I376" s="36"/>
      <c r="J376" s="36"/>
      <c r="K376" s="36"/>
    </row>
    <row r="377" ht="15.75" customHeight="1">
      <c r="F377" s="36"/>
      <c r="G377" s="36"/>
      <c r="I377" s="36"/>
      <c r="J377" s="36"/>
      <c r="K377" s="36"/>
    </row>
    <row r="378" ht="15.75" customHeight="1">
      <c r="F378" s="36"/>
      <c r="G378" s="36"/>
      <c r="I378" s="36"/>
      <c r="J378" s="36"/>
      <c r="K378" s="36"/>
    </row>
    <row r="379" ht="15.75" customHeight="1">
      <c r="F379" s="36"/>
      <c r="G379" s="36"/>
      <c r="I379" s="36"/>
      <c r="J379" s="36"/>
      <c r="K379" s="36"/>
    </row>
    <row r="380" ht="15.75" customHeight="1">
      <c r="F380" s="36"/>
      <c r="G380" s="36"/>
      <c r="I380" s="36"/>
      <c r="J380" s="36"/>
      <c r="K380" s="36"/>
    </row>
    <row r="381" ht="15.75" customHeight="1">
      <c r="F381" s="36"/>
      <c r="G381" s="36"/>
      <c r="I381" s="36"/>
      <c r="J381" s="36"/>
      <c r="K381" s="36"/>
    </row>
    <row r="382" ht="15.75" customHeight="1">
      <c r="F382" s="36"/>
      <c r="G382" s="36"/>
      <c r="I382" s="36"/>
      <c r="J382" s="36"/>
      <c r="K382" s="36"/>
    </row>
    <row r="383" ht="15.75" customHeight="1">
      <c r="F383" s="36"/>
      <c r="G383" s="36"/>
      <c r="I383" s="36"/>
      <c r="J383" s="36"/>
      <c r="K383" s="36"/>
    </row>
    <row r="384" ht="15.75" customHeight="1">
      <c r="F384" s="36"/>
      <c r="G384" s="36"/>
      <c r="I384" s="36"/>
      <c r="J384" s="36"/>
      <c r="K384" s="36"/>
    </row>
    <row r="385" ht="15.75" customHeight="1">
      <c r="F385" s="36"/>
      <c r="G385" s="36"/>
      <c r="I385" s="36"/>
      <c r="J385" s="36"/>
      <c r="K385" s="36"/>
    </row>
    <row r="386" ht="15.75" customHeight="1">
      <c r="F386" s="36"/>
      <c r="G386" s="36"/>
      <c r="I386" s="36"/>
      <c r="J386" s="36"/>
      <c r="K386" s="36"/>
    </row>
    <row r="387" ht="15.75" customHeight="1">
      <c r="F387" s="36"/>
      <c r="G387" s="36"/>
      <c r="I387" s="36"/>
      <c r="J387" s="36"/>
      <c r="K387" s="36"/>
    </row>
    <row r="388" ht="15.75" customHeight="1">
      <c r="F388" s="36"/>
      <c r="G388" s="36"/>
      <c r="I388" s="36"/>
      <c r="J388" s="36"/>
      <c r="K388" s="36"/>
    </row>
    <row r="389" ht="15.75" customHeight="1">
      <c r="F389" s="36"/>
      <c r="G389" s="36"/>
      <c r="I389" s="36"/>
      <c r="J389" s="36"/>
      <c r="K389" s="36"/>
    </row>
    <row r="390" ht="15.75" customHeight="1">
      <c r="F390" s="36"/>
      <c r="G390" s="36"/>
      <c r="I390" s="36"/>
      <c r="J390" s="36"/>
      <c r="K390" s="36"/>
    </row>
    <row r="391" ht="15.75" customHeight="1">
      <c r="F391" s="36"/>
      <c r="G391" s="36"/>
      <c r="I391" s="36"/>
      <c r="J391" s="36"/>
      <c r="K391" s="36"/>
    </row>
    <row r="392" ht="15.75" customHeight="1">
      <c r="F392" s="36"/>
      <c r="G392" s="36"/>
      <c r="I392" s="36"/>
      <c r="J392" s="36"/>
      <c r="K392" s="36"/>
    </row>
    <row r="393" ht="15.75" customHeight="1">
      <c r="F393" s="36"/>
      <c r="G393" s="36"/>
      <c r="I393" s="36"/>
      <c r="J393" s="36"/>
      <c r="K393" s="36"/>
    </row>
    <row r="394" ht="15.75" customHeight="1">
      <c r="F394" s="36"/>
      <c r="G394" s="36"/>
      <c r="I394" s="36"/>
      <c r="J394" s="36"/>
      <c r="K394" s="36"/>
    </row>
    <row r="395" ht="15.75" customHeight="1">
      <c r="F395" s="36"/>
      <c r="G395" s="36"/>
      <c r="I395" s="36"/>
      <c r="J395" s="36"/>
      <c r="K395" s="36"/>
    </row>
    <row r="396" ht="15.75" customHeight="1">
      <c r="F396" s="36"/>
      <c r="G396" s="36"/>
      <c r="I396" s="36"/>
      <c r="J396" s="36"/>
      <c r="K396" s="36"/>
    </row>
    <row r="397" ht="15.75" customHeight="1">
      <c r="F397" s="36"/>
      <c r="G397" s="36"/>
      <c r="I397" s="36"/>
      <c r="J397" s="36"/>
      <c r="K397" s="36"/>
    </row>
    <row r="398" ht="15.75" customHeight="1">
      <c r="F398" s="36"/>
      <c r="G398" s="36"/>
      <c r="I398" s="36"/>
      <c r="J398" s="36"/>
      <c r="K398" s="36"/>
    </row>
    <row r="399" ht="15.75" customHeight="1">
      <c r="F399" s="36"/>
      <c r="G399" s="36"/>
      <c r="I399" s="36"/>
      <c r="J399" s="36"/>
      <c r="K399" s="36"/>
    </row>
    <row r="400" ht="15.75" customHeight="1">
      <c r="F400" s="36"/>
      <c r="G400" s="36"/>
      <c r="I400" s="36"/>
      <c r="J400" s="36"/>
      <c r="K400" s="36"/>
    </row>
    <row r="401" ht="15.75" customHeight="1">
      <c r="F401" s="36"/>
      <c r="G401" s="36"/>
      <c r="I401" s="36"/>
      <c r="J401" s="36"/>
      <c r="K401" s="36"/>
    </row>
    <row r="402" ht="15.75" customHeight="1">
      <c r="F402" s="36"/>
      <c r="G402" s="36"/>
      <c r="I402" s="36"/>
      <c r="J402" s="36"/>
      <c r="K402" s="36"/>
    </row>
    <row r="403" ht="15.75" customHeight="1">
      <c r="F403" s="36"/>
      <c r="G403" s="36"/>
      <c r="I403" s="36"/>
      <c r="J403" s="36"/>
      <c r="K403" s="36"/>
    </row>
    <row r="404" ht="15.75" customHeight="1">
      <c r="F404" s="36"/>
      <c r="G404" s="36"/>
      <c r="I404" s="36"/>
      <c r="J404" s="36"/>
      <c r="K404" s="36"/>
    </row>
    <row r="405" ht="15.75" customHeight="1">
      <c r="F405" s="36"/>
      <c r="G405" s="36"/>
      <c r="I405" s="36"/>
      <c r="J405" s="36"/>
      <c r="K405" s="36"/>
    </row>
    <row r="406" ht="15.75" customHeight="1">
      <c r="F406" s="36"/>
      <c r="G406" s="36"/>
      <c r="I406" s="36"/>
      <c r="J406" s="36"/>
      <c r="K406" s="36"/>
    </row>
    <row r="407" ht="15.75" customHeight="1">
      <c r="F407" s="36"/>
      <c r="G407" s="36"/>
      <c r="I407" s="36"/>
      <c r="J407" s="36"/>
      <c r="K407" s="36"/>
    </row>
    <row r="408" ht="15.75" customHeight="1">
      <c r="F408" s="36"/>
      <c r="G408" s="36"/>
      <c r="I408" s="36"/>
      <c r="J408" s="36"/>
      <c r="K408" s="36"/>
    </row>
    <row r="409" ht="15.75" customHeight="1">
      <c r="F409" s="36"/>
      <c r="G409" s="36"/>
      <c r="I409" s="36"/>
      <c r="J409" s="36"/>
      <c r="K409" s="36"/>
    </row>
    <row r="410" ht="15.75" customHeight="1">
      <c r="F410" s="36"/>
      <c r="G410" s="36"/>
      <c r="I410" s="36"/>
      <c r="J410" s="36"/>
      <c r="K410" s="36"/>
    </row>
    <row r="411" ht="15.75" customHeight="1">
      <c r="F411" s="36"/>
      <c r="G411" s="36"/>
      <c r="I411" s="36"/>
      <c r="J411" s="36"/>
      <c r="K411" s="36"/>
    </row>
    <row r="412" ht="15.75" customHeight="1">
      <c r="F412" s="36"/>
      <c r="G412" s="36"/>
      <c r="I412" s="36"/>
      <c r="J412" s="36"/>
      <c r="K412" s="36"/>
    </row>
    <row r="413" ht="15.75" customHeight="1">
      <c r="F413" s="36"/>
      <c r="G413" s="36"/>
      <c r="I413" s="36"/>
      <c r="J413" s="36"/>
      <c r="K413" s="36"/>
    </row>
    <row r="414" ht="15.75" customHeight="1">
      <c r="F414" s="36"/>
      <c r="G414" s="36"/>
      <c r="I414" s="36"/>
      <c r="J414" s="36"/>
      <c r="K414" s="36"/>
    </row>
    <row r="415" ht="15.75" customHeight="1">
      <c r="F415" s="36"/>
      <c r="G415" s="36"/>
      <c r="I415" s="36"/>
      <c r="J415" s="36"/>
      <c r="K415" s="36"/>
    </row>
    <row r="416" ht="15.75" customHeight="1">
      <c r="F416" s="36"/>
      <c r="G416" s="36"/>
      <c r="I416" s="36"/>
      <c r="J416" s="36"/>
      <c r="K416" s="36"/>
    </row>
    <row r="417" ht="15.75" customHeight="1">
      <c r="F417" s="36"/>
      <c r="G417" s="36"/>
      <c r="I417" s="36"/>
      <c r="J417" s="36"/>
      <c r="K417" s="36"/>
    </row>
    <row r="418" ht="15.75" customHeight="1">
      <c r="F418" s="36"/>
      <c r="G418" s="36"/>
      <c r="I418" s="36"/>
      <c r="J418" s="36"/>
      <c r="K418" s="36"/>
    </row>
    <row r="419" ht="15.75" customHeight="1">
      <c r="F419" s="36"/>
      <c r="G419" s="36"/>
      <c r="I419" s="36"/>
      <c r="J419" s="36"/>
      <c r="K419" s="36"/>
    </row>
    <row r="420" ht="15.75" customHeight="1">
      <c r="F420" s="36"/>
      <c r="G420" s="36"/>
      <c r="I420" s="36"/>
      <c r="J420" s="36"/>
      <c r="K420" s="36"/>
    </row>
    <row r="421" ht="15.75" customHeight="1">
      <c r="F421" s="36"/>
      <c r="G421" s="36"/>
      <c r="I421" s="36"/>
      <c r="J421" s="36"/>
      <c r="K421" s="36"/>
    </row>
    <row r="422" ht="15.75" customHeight="1">
      <c r="F422" s="36"/>
      <c r="G422" s="36"/>
      <c r="I422" s="36"/>
      <c r="J422" s="36"/>
      <c r="K422" s="36"/>
    </row>
    <row r="423" ht="15.75" customHeight="1">
      <c r="F423" s="36"/>
      <c r="G423" s="36"/>
      <c r="I423" s="36"/>
      <c r="J423" s="36"/>
      <c r="K423" s="36"/>
    </row>
    <row r="424" ht="15.75" customHeight="1">
      <c r="F424" s="36"/>
      <c r="G424" s="36"/>
      <c r="I424" s="36"/>
      <c r="J424" s="36"/>
      <c r="K424" s="36"/>
    </row>
    <row r="425" ht="15.75" customHeight="1">
      <c r="F425" s="36"/>
      <c r="G425" s="36"/>
      <c r="I425" s="36"/>
      <c r="J425" s="36"/>
      <c r="K425" s="36"/>
    </row>
    <row r="426" ht="15.75" customHeight="1">
      <c r="F426" s="36"/>
      <c r="G426" s="36"/>
      <c r="I426" s="36"/>
      <c r="J426" s="36"/>
      <c r="K426" s="36"/>
    </row>
    <row r="427" ht="15.75" customHeight="1">
      <c r="F427" s="36"/>
      <c r="G427" s="36"/>
      <c r="I427" s="36"/>
      <c r="J427" s="36"/>
      <c r="K427" s="36"/>
    </row>
    <row r="428" ht="15.75" customHeight="1">
      <c r="F428" s="36"/>
      <c r="G428" s="36"/>
      <c r="I428" s="36"/>
      <c r="J428" s="36"/>
      <c r="K428" s="36"/>
    </row>
    <row r="429" ht="15.75" customHeight="1">
      <c r="F429" s="36"/>
      <c r="G429" s="36"/>
      <c r="I429" s="36"/>
      <c r="J429" s="36"/>
      <c r="K429" s="36"/>
    </row>
    <row r="430" ht="15.75" customHeight="1">
      <c r="F430" s="36"/>
      <c r="G430" s="36"/>
      <c r="I430" s="36"/>
      <c r="J430" s="36"/>
      <c r="K430" s="36"/>
    </row>
    <row r="431" ht="15.75" customHeight="1">
      <c r="F431" s="36"/>
      <c r="G431" s="36"/>
      <c r="I431" s="36"/>
      <c r="J431" s="36"/>
      <c r="K431" s="36"/>
    </row>
    <row r="432" ht="15.75" customHeight="1">
      <c r="F432" s="36"/>
      <c r="G432" s="36"/>
      <c r="I432" s="36"/>
      <c r="J432" s="36"/>
      <c r="K432" s="36"/>
    </row>
    <row r="433" ht="15.75" customHeight="1">
      <c r="F433" s="36"/>
      <c r="G433" s="36"/>
      <c r="I433" s="36"/>
      <c r="J433" s="36"/>
      <c r="K433" s="36"/>
    </row>
    <row r="434" ht="15.75" customHeight="1">
      <c r="F434" s="36"/>
      <c r="G434" s="36"/>
      <c r="I434" s="36"/>
      <c r="J434" s="36"/>
      <c r="K434" s="36"/>
    </row>
    <row r="435" ht="15.75" customHeight="1">
      <c r="F435" s="36"/>
      <c r="G435" s="36"/>
      <c r="I435" s="36"/>
      <c r="J435" s="36"/>
      <c r="K435" s="36"/>
    </row>
    <row r="436" ht="15.75" customHeight="1">
      <c r="F436" s="36"/>
      <c r="G436" s="36"/>
      <c r="I436" s="36"/>
      <c r="J436" s="36"/>
      <c r="K436" s="36"/>
    </row>
    <row r="437" ht="15.75" customHeight="1">
      <c r="F437" s="36"/>
      <c r="G437" s="36"/>
      <c r="I437" s="36"/>
      <c r="J437" s="36"/>
      <c r="K437" s="36"/>
    </row>
    <row r="438" ht="15.75" customHeight="1">
      <c r="F438" s="36"/>
      <c r="G438" s="36"/>
      <c r="I438" s="36"/>
      <c r="J438" s="36"/>
      <c r="K438" s="36"/>
    </row>
    <row r="439" ht="15.75" customHeight="1">
      <c r="F439" s="36"/>
      <c r="G439" s="36"/>
      <c r="I439" s="36"/>
      <c r="J439" s="36"/>
      <c r="K439" s="36"/>
    </row>
    <row r="440" ht="15.75" customHeight="1">
      <c r="F440" s="36"/>
      <c r="G440" s="36"/>
      <c r="I440" s="36"/>
      <c r="J440" s="36"/>
      <c r="K440" s="36"/>
    </row>
    <row r="441" ht="15.75" customHeight="1">
      <c r="F441" s="36"/>
      <c r="G441" s="36"/>
      <c r="I441" s="36"/>
      <c r="J441" s="36"/>
      <c r="K441" s="36"/>
    </row>
    <row r="442" ht="15.75" customHeight="1">
      <c r="F442" s="36"/>
      <c r="G442" s="36"/>
      <c r="I442" s="36"/>
      <c r="J442" s="36"/>
      <c r="K442" s="36"/>
    </row>
    <row r="443" ht="15.75" customHeight="1">
      <c r="F443" s="36"/>
      <c r="G443" s="36"/>
      <c r="I443" s="36"/>
      <c r="J443" s="36"/>
      <c r="K443" s="36"/>
    </row>
    <row r="444" ht="15.75" customHeight="1">
      <c r="F444" s="36"/>
      <c r="G444" s="36"/>
      <c r="I444" s="36"/>
      <c r="J444" s="36"/>
      <c r="K444" s="36"/>
    </row>
    <row r="445" ht="15.75" customHeight="1">
      <c r="F445" s="36"/>
      <c r="G445" s="36"/>
      <c r="I445" s="36"/>
      <c r="J445" s="36"/>
      <c r="K445" s="36"/>
    </row>
    <row r="446" ht="15.75" customHeight="1">
      <c r="F446" s="36"/>
      <c r="G446" s="36"/>
      <c r="I446" s="36"/>
      <c r="J446" s="36"/>
      <c r="K446" s="36"/>
    </row>
    <row r="447" ht="15.75" customHeight="1">
      <c r="F447" s="36"/>
      <c r="G447" s="36"/>
      <c r="I447" s="36"/>
      <c r="J447" s="36"/>
      <c r="K447" s="36"/>
    </row>
    <row r="448" ht="15.75" customHeight="1">
      <c r="F448" s="36"/>
      <c r="G448" s="36"/>
      <c r="I448" s="36"/>
      <c r="J448" s="36"/>
      <c r="K448" s="36"/>
    </row>
    <row r="449" ht="15.75" customHeight="1">
      <c r="F449" s="36"/>
      <c r="G449" s="36"/>
      <c r="I449" s="36"/>
      <c r="J449" s="36"/>
      <c r="K449" s="36"/>
    </row>
    <row r="450" ht="15.75" customHeight="1">
      <c r="F450" s="36"/>
      <c r="G450" s="36"/>
      <c r="I450" s="36"/>
      <c r="J450" s="36"/>
      <c r="K450" s="36"/>
    </row>
    <row r="451" ht="15.75" customHeight="1">
      <c r="F451" s="36"/>
      <c r="G451" s="36"/>
      <c r="I451" s="36"/>
      <c r="J451" s="36"/>
      <c r="K451" s="36"/>
    </row>
    <row r="452" ht="15.75" customHeight="1">
      <c r="F452" s="36"/>
      <c r="G452" s="36"/>
      <c r="I452" s="36"/>
      <c r="J452" s="36"/>
      <c r="K452" s="36"/>
    </row>
    <row r="453" ht="15.75" customHeight="1">
      <c r="F453" s="36"/>
      <c r="G453" s="36"/>
      <c r="I453" s="36"/>
      <c r="J453" s="36"/>
      <c r="K453" s="36"/>
    </row>
    <row r="454" ht="15.75" customHeight="1">
      <c r="F454" s="36"/>
      <c r="G454" s="36"/>
      <c r="I454" s="36"/>
      <c r="J454" s="36"/>
      <c r="K454" s="36"/>
    </row>
    <row r="455" ht="15.75" customHeight="1">
      <c r="F455" s="36"/>
      <c r="G455" s="36"/>
      <c r="I455" s="36"/>
      <c r="J455" s="36"/>
      <c r="K455" s="36"/>
    </row>
    <row r="456" ht="15.75" customHeight="1">
      <c r="F456" s="36"/>
      <c r="G456" s="36"/>
      <c r="I456" s="36"/>
      <c r="J456" s="36"/>
      <c r="K456" s="36"/>
    </row>
    <row r="457" ht="15.75" customHeight="1">
      <c r="F457" s="36"/>
      <c r="G457" s="36"/>
      <c r="I457" s="36"/>
      <c r="J457" s="36"/>
      <c r="K457" s="36"/>
    </row>
    <row r="458" ht="15.75" customHeight="1">
      <c r="F458" s="36"/>
      <c r="G458" s="36"/>
      <c r="I458" s="36"/>
      <c r="J458" s="36"/>
      <c r="K458" s="36"/>
    </row>
    <row r="459" ht="15.75" customHeight="1">
      <c r="F459" s="36"/>
      <c r="G459" s="36"/>
      <c r="I459" s="36"/>
      <c r="J459" s="36"/>
      <c r="K459" s="36"/>
    </row>
    <row r="460" ht="15.75" customHeight="1">
      <c r="F460" s="36"/>
      <c r="G460" s="36"/>
      <c r="I460" s="36"/>
      <c r="J460" s="36"/>
      <c r="K460" s="36"/>
    </row>
    <row r="461" ht="15.75" customHeight="1">
      <c r="F461" s="36"/>
      <c r="G461" s="36"/>
      <c r="I461" s="36"/>
      <c r="J461" s="36"/>
      <c r="K461" s="36"/>
    </row>
    <row r="462" ht="15.75" customHeight="1">
      <c r="F462" s="36"/>
      <c r="G462" s="36"/>
      <c r="I462" s="36"/>
      <c r="J462" s="36"/>
      <c r="K462" s="36"/>
    </row>
    <row r="463" ht="15.75" customHeight="1">
      <c r="F463" s="36"/>
      <c r="G463" s="36"/>
      <c r="I463" s="36"/>
      <c r="J463" s="36"/>
      <c r="K463" s="36"/>
    </row>
    <row r="464" ht="15.75" customHeight="1">
      <c r="F464" s="36"/>
      <c r="G464" s="36"/>
      <c r="I464" s="36"/>
      <c r="J464" s="36"/>
      <c r="K464" s="36"/>
    </row>
    <row r="465" ht="15.75" customHeight="1">
      <c r="F465" s="36"/>
      <c r="G465" s="36"/>
      <c r="I465" s="36"/>
      <c r="J465" s="36"/>
      <c r="K465" s="36"/>
    </row>
    <row r="466" ht="15.75" customHeight="1">
      <c r="F466" s="36"/>
      <c r="G466" s="36"/>
      <c r="I466" s="36"/>
      <c r="J466" s="36"/>
      <c r="K466" s="36"/>
    </row>
    <row r="467" ht="15.75" customHeight="1">
      <c r="F467" s="36"/>
      <c r="G467" s="36"/>
      <c r="I467" s="36"/>
      <c r="J467" s="36"/>
      <c r="K467" s="36"/>
    </row>
    <row r="468" ht="15.75" customHeight="1">
      <c r="F468" s="36"/>
      <c r="G468" s="36"/>
      <c r="I468" s="36"/>
      <c r="J468" s="36"/>
      <c r="K468" s="36"/>
    </row>
    <row r="469" ht="15.75" customHeight="1">
      <c r="F469" s="36"/>
      <c r="G469" s="36"/>
      <c r="I469" s="36"/>
      <c r="J469" s="36"/>
      <c r="K469" s="36"/>
    </row>
    <row r="470" ht="15.75" customHeight="1">
      <c r="F470" s="36"/>
      <c r="G470" s="36"/>
      <c r="I470" s="36"/>
      <c r="J470" s="36"/>
      <c r="K470" s="36"/>
    </row>
    <row r="471" ht="15.75" customHeight="1">
      <c r="F471" s="36"/>
      <c r="G471" s="36"/>
      <c r="I471" s="36"/>
      <c r="J471" s="36"/>
      <c r="K471" s="36"/>
    </row>
    <row r="472" ht="15.75" customHeight="1">
      <c r="F472" s="36"/>
      <c r="G472" s="36"/>
      <c r="I472" s="36"/>
      <c r="J472" s="36"/>
      <c r="K472" s="36"/>
    </row>
    <row r="473" ht="15.75" customHeight="1">
      <c r="F473" s="36"/>
      <c r="G473" s="36"/>
      <c r="I473" s="36"/>
      <c r="J473" s="36"/>
      <c r="K473" s="36"/>
    </row>
    <row r="474" ht="15.75" customHeight="1">
      <c r="F474" s="36"/>
      <c r="G474" s="36"/>
      <c r="I474" s="36"/>
      <c r="J474" s="36"/>
      <c r="K474" s="36"/>
    </row>
    <row r="475" ht="15.75" customHeight="1">
      <c r="F475" s="36"/>
      <c r="G475" s="36"/>
      <c r="I475" s="36"/>
      <c r="J475" s="36"/>
      <c r="K475" s="36"/>
    </row>
    <row r="476" ht="15.75" customHeight="1">
      <c r="F476" s="36"/>
      <c r="G476" s="36"/>
      <c r="I476" s="36"/>
      <c r="J476" s="36"/>
      <c r="K476" s="36"/>
    </row>
    <row r="477" ht="15.75" customHeight="1">
      <c r="F477" s="36"/>
      <c r="G477" s="36"/>
      <c r="I477" s="36"/>
      <c r="J477" s="36"/>
      <c r="K477" s="36"/>
    </row>
    <row r="478" ht="15.75" customHeight="1">
      <c r="F478" s="36"/>
      <c r="G478" s="36"/>
      <c r="I478" s="36"/>
      <c r="J478" s="36"/>
      <c r="K478" s="36"/>
    </row>
    <row r="479" ht="15.75" customHeight="1">
      <c r="F479" s="36"/>
      <c r="G479" s="36"/>
      <c r="I479" s="36"/>
      <c r="J479" s="36"/>
      <c r="K479" s="36"/>
    </row>
    <row r="480" ht="15.75" customHeight="1">
      <c r="F480" s="36"/>
      <c r="G480" s="36"/>
      <c r="I480" s="36"/>
      <c r="J480" s="36"/>
      <c r="K480" s="36"/>
    </row>
    <row r="481" ht="15.75" customHeight="1">
      <c r="F481" s="36"/>
      <c r="G481" s="36"/>
      <c r="I481" s="36"/>
      <c r="J481" s="36"/>
      <c r="K481" s="36"/>
    </row>
    <row r="482" ht="15.75" customHeight="1">
      <c r="F482" s="36"/>
      <c r="G482" s="36"/>
      <c r="I482" s="36"/>
      <c r="J482" s="36"/>
      <c r="K482" s="36"/>
    </row>
    <row r="483" ht="15.75" customHeight="1">
      <c r="F483" s="36"/>
      <c r="G483" s="36"/>
      <c r="I483" s="36"/>
      <c r="J483" s="36"/>
      <c r="K483" s="36"/>
    </row>
    <row r="484" ht="15.75" customHeight="1">
      <c r="F484" s="36"/>
      <c r="G484" s="36"/>
      <c r="I484" s="36"/>
      <c r="J484" s="36"/>
      <c r="K484" s="36"/>
    </row>
    <row r="485" ht="15.75" customHeight="1">
      <c r="F485" s="36"/>
      <c r="G485" s="36"/>
      <c r="I485" s="36"/>
      <c r="J485" s="36"/>
      <c r="K485" s="36"/>
    </row>
    <row r="486" ht="15.75" customHeight="1">
      <c r="F486" s="36"/>
      <c r="G486" s="36"/>
      <c r="I486" s="36"/>
      <c r="J486" s="36"/>
      <c r="K486" s="36"/>
    </row>
    <row r="487" ht="15.75" customHeight="1">
      <c r="F487" s="36"/>
      <c r="G487" s="36"/>
      <c r="I487" s="36"/>
      <c r="J487" s="36"/>
      <c r="K487" s="36"/>
    </row>
    <row r="488" ht="15.75" customHeight="1">
      <c r="F488" s="36"/>
      <c r="G488" s="36"/>
      <c r="I488" s="36"/>
      <c r="J488" s="36"/>
      <c r="K488" s="36"/>
    </row>
    <row r="489" ht="15.75" customHeight="1">
      <c r="F489" s="36"/>
      <c r="G489" s="36"/>
      <c r="I489" s="36"/>
      <c r="J489" s="36"/>
      <c r="K489" s="36"/>
    </row>
    <row r="490" ht="15.75" customHeight="1">
      <c r="F490" s="36"/>
      <c r="G490" s="36"/>
      <c r="I490" s="36"/>
      <c r="J490" s="36"/>
      <c r="K490" s="36"/>
    </row>
    <row r="491" ht="15.75" customHeight="1">
      <c r="F491" s="36"/>
      <c r="G491" s="36"/>
      <c r="I491" s="36"/>
      <c r="J491" s="36"/>
      <c r="K491" s="36"/>
    </row>
    <row r="492" ht="15.75" customHeight="1">
      <c r="F492" s="36"/>
      <c r="G492" s="36"/>
      <c r="I492" s="36"/>
      <c r="J492" s="36"/>
      <c r="K492" s="36"/>
    </row>
    <row r="493" ht="15.75" customHeight="1">
      <c r="F493" s="36"/>
      <c r="G493" s="36"/>
      <c r="I493" s="36"/>
      <c r="J493" s="36"/>
      <c r="K493" s="36"/>
    </row>
    <row r="494" ht="15.75" customHeight="1">
      <c r="F494" s="36"/>
      <c r="G494" s="36"/>
      <c r="I494" s="36"/>
      <c r="J494" s="36"/>
      <c r="K494" s="36"/>
    </row>
    <row r="495" ht="15.75" customHeight="1">
      <c r="F495" s="36"/>
      <c r="G495" s="36"/>
      <c r="I495" s="36"/>
      <c r="J495" s="36"/>
      <c r="K495" s="36"/>
    </row>
    <row r="496" ht="15.75" customHeight="1">
      <c r="F496" s="36"/>
      <c r="G496" s="36"/>
      <c r="I496" s="36"/>
      <c r="J496" s="36"/>
      <c r="K496" s="36"/>
    </row>
    <row r="497" ht="15.75" customHeight="1">
      <c r="F497" s="36"/>
      <c r="G497" s="36"/>
      <c r="I497" s="36"/>
      <c r="J497" s="36"/>
      <c r="K497" s="36"/>
    </row>
    <row r="498" ht="15.75" customHeight="1">
      <c r="F498" s="36"/>
      <c r="G498" s="36"/>
      <c r="I498" s="36"/>
      <c r="J498" s="36"/>
      <c r="K498" s="36"/>
    </row>
    <row r="499" ht="15.75" customHeight="1">
      <c r="F499" s="36"/>
      <c r="G499" s="36"/>
      <c r="I499" s="36"/>
      <c r="J499" s="36"/>
      <c r="K499" s="36"/>
    </row>
    <row r="500" ht="15.75" customHeight="1">
      <c r="F500" s="36"/>
      <c r="G500" s="36"/>
      <c r="I500" s="36"/>
      <c r="J500" s="36"/>
      <c r="K500" s="36"/>
    </row>
    <row r="501" ht="15.75" customHeight="1">
      <c r="F501" s="36"/>
      <c r="G501" s="36"/>
      <c r="I501" s="36"/>
      <c r="J501" s="36"/>
      <c r="K501" s="36"/>
    </row>
    <row r="502" ht="15.75" customHeight="1">
      <c r="F502" s="36"/>
      <c r="G502" s="36"/>
      <c r="I502" s="36"/>
      <c r="J502" s="36"/>
      <c r="K502" s="36"/>
    </row>
    <row r="503" ht="15.75" customHeight="1">
      <c r="F503" s="36"/>
      <c r="G503" s="36"/>
      <c r="I503" s="36"/>
      <c r="J503" s="36"/>
      <c r="K503" s="36"/>
    </row>
    <row r="504" ht="15.75" customHeight="1">
      <c r="F504" s="36"/>
      <c r="G504" s="36"/>
      <c r="I504" s="36"/>
      <c r="J504" s="36"/>
      <c r="K504" s="36"/>
    </row>
    <row r="505" ht="15.75" customHeight="1">
      <c r="F505" s="36"/>
      <c r="G505" s="36"/>
      <c r="I505" s="36"/>
      <c r="J505" s="36"/>
      <c r="K505" s="36"/>
    </row>
    <row r="506" ht="15.75" customHeight="1">
      <c r="F506" s="36"/>
      <c r="G506" s="36"/>
      <c r="I506" s="36"/>
      <c r="J506" s="36"/>
      <c r="K506" s="36"/>
    </row>
    <row r="507" ht="15.75" customHeight="1">
      <c r="F507" s="36"/>
      <c r="G507" s="36"/>
      <c r="I507" s="36"/>
      <c r="J507" s="36"/>
      <c r="K507" s="36"/>
    </row>
    <row r="508" ht="15.75" customHeight="1">
      <c r="F508" s="36"/>
      <c r="G508" s="36"/>
      <c r="I508" s="36"/>
      <c r="J508" s="36"/>
      <c r="K508" s="36"/>
    </row>
    <row r="509" ht="15.75" customHeight="1">
      <c r="F509" s="36"/>
      <c r="G509" s="36"/>
      <c r="I509" s="36"/>
      <c r="J509" s="36"/>
      <c r="K509" s="36"/>
    </row>
    <row r="510" ht="15.75" customHeight="1">
      <c r="F510" s="36"/>
      <c r="G510" s="36"/>
      <c r="I510" s="36"/>
      <c r="J510" s="36"/>
      <c r="K510" s="36"/>
    </row>
    <row r="511" ht="15.75" customHeight="1">
      <c r="F511" s="36"/>
      <c r="G511" s="36"/>
      <c r="I511" s="36"/>
      <c r="J511" s="36"/>
      <c r="K511" s="36"/>
    </row>
    <row r="512" ht="15.75" customHeight="1">
      <c r="F512" s="36"/>
      <c r="G512" s="36"/>
      <c r="I512" s="36"/>
      <c r="J512" s="36"/>
      <c r="K512" s="36"/>
    </row>
    <row r="513" ht="15.75" customHeight="1">
      <c r="F513" s="36"/>
      <c r="G513" s="36"/>
      <c r="I513" s="36"/>
      <c r="J513" s="36"/>
      <c r="K513" s="36"/>
    </row>
    <row r="514" ht="15.75" customHeight="1">
      <c r="F514" s="36"/>
      <c r="G514" s="36"/>
      <c r="I514" s="36"/>
      <c r="J514" s="36"/>
      <c r="K514" s="36"/>
    </row>
    <row r="515" ht="15.75" customHeight="1">
      <c r="F515" s="36"/>
      <c r="G515" s="36"/>
      <c r="I515" s="36"/>
      <c r="J515" s="36"/>
      <c r="K515" s="36"/>
    </row>
    <row r="516" ht="15.75" customHeight="1">
      <c r="F516" s="36"/>
      <c r="G516" s="36"/>
      <c r="I516" s="36"/>
      <c r="J516" s="36"/>
      <c r="K516" s="36"/>
    </row>
    <row r="517" ht="15.75" customHeight="1">
      <c r="F517" s="36"/>
      <c r="G517" s="36"/>
      <c r="I517" s="36"/>
      <c r="J517" s="36"/>
      <c r="K517" s="36"/>
    </row>
    <row r="518" ht="15.75" customHeight="1">
      <c r="F518" s="36"/>
      <c r="G518" s="36"/>
      <c r="I518" s="36"/>
      <c r="J518" s="36"/>
      <c r="K518" s="36"/>
    </row>
    <row r="519" ht="15.75" customHeight="1">
      <c r="F519" s="36"/>
      <c r="G519" s="36"/>
      <c r="I519" s="36"/>
      <c r="J519" s="36"/>
      <c r="K519" s="36"/>
    </row>
    <row r="520" ht="15.75" customHeight="1">
      <c r="F520" s="36"/>
      <c r="G520" s="36"/>
      <c r="I520" s="36"/>
      <c r="J520" s="36"/>
      <c r="K520" s="36"/>
    </row>
    <row r="521" ht="15.75" customHeight="1">
      <c r="F521" s="36"/>
      <c r="G521" s="36"/>
      <c r="I521" s="36"/>
      <c r="J521" s="36"/>
      <c r="K521" s="36"/>
    </row>
    <row r="522" ht="15.75" customHeight="1">
      <c r="F522" s="36"/>
      <c r="G522" s="36"/>
      <c r="I522" s="36"/>
      <c r="J522" s="36"/>
      <c r="K522" s="36"/>
    </row>
    <row r="523" ht="15.75" customHeight="1">
      <c r="F523" s="36"/>
      <c r="G523" s="36"/>
      <c r="I523" s="36"/>
      <c r="J523" s="36"/>
      <c r="K523" s="36"/>
    </row>
    <row r="524" ht="15.75" customHeight="1">
      <c r="F524" s="36"/>
      <c r="G524" s="36"/>
      <c r="I524" s="36"/>
      <c r="J524" s="36"/>
      <c r="K524" s="36"/>
    </row>
    <row r="525" ht="15.75" customHeight="1">
      <c r="F525" s="36"/>
      <c r="G525" s="36"/>
      <c r="I525" s="36"/>
      <c r="J525" s="36"/>
      <c r="K525" s="36"/>
    </row>
    <row r="526" ht="15.75" customHeight="1">
      <c r="F526" s="36"/>
      <c r="G526" s="36"/>
      <c r="I526" s="36"/>
      <c r="J526" s="36"/>
      <c r="K526" s="36"/>
    </row>
    <row r="527" ht="15.75" customHeight="1">
      <c r="F527" s="36"/>
      <c r="G527" s="36"/>
      <c r="I527" s="36"/>
      <c r="J527" s="36"/>
      <c r="K527" s="36"/>
    </row>
    <row r="528" ht="15.75" customHeight="1">
      <c r="F528" s="36"/>
      <c r="G528" s="36"/>
      <c r="I528" s="36"/>
      <c r="J528" s="36"/>
      <c r="K528" s="36"/>
    </row>
    <row r="529" ht="15.75" customHeight="1">
      <c r="F529" s="36"/>
      <c r="G529" s="36"/>
      <c r="I529" s="36"/>
      <c r="J529" s="36"/>
      <c r="K529" s="36"/>
    </row>
    <row r="530" ht="15.75" customHeight="1">
      <c r="F530" s="36"/>
      <c r="G530" s="36"/>
      <c r="I530" s="36"/>
      <c r="J530" s="36"/>
      <c r="K530" s="36"/>
    </row>
    <row r="531" ht="15.75" customHeight="1">
      <c r="F531" s="36"/>
      <c r="G531" s="36"/>
      <c r="I531" s="36"/>
      <c r="J531" s="36"/>
      <c r="K531" s="36"/>
    </row>
    <row r="532" ht="15.75" customHeight="1">
      <c r="F532" s="36"/>
      <c r="G532" s="36"/>
      <c r="I532" s="36"/>
      <c r="J532" s="36"/>
      <c r="K532" s="36"/>
    </row>
    <row r="533" ht="15.75" customHeight="1">
      <c r="F533" s="36"/>
      <c r="G533" s="36"/>
      <c r="I533" s="36"/>
      <c r="J533" s="36"/>
      <c r="K533" s="36"/>
    </row>
    <row r="534" ht="15.75" customHeight="1">
      <c r="F534" s="36"/>
      <c r="G534" s="36"/>
      <c r="I534" s="36"/>
      <c r="J534" s="36"/>
      <c r="K534" s="36"/>
    </row>
    <row r="535" ht="15.75" customHeight="1">
      <c r="F535" s="36"/>
      <c r="G535" s="36"/>
      <c r="I535" s="36"/>
      <c r="J535" s="36"/>
      <c r="K535" s="36"/>
    </row>
    <row r="536" ht="15.75" customHeight="1">
      <c r="F536" s="36"/>
      <c r="G536" s="36"/>
      <c r="I536" s="36"/>
      <c r="J536" s="36"/>
      <c r="K536" s="36"/>
    </row>
    <row r="537" ht="15.75" customHeight="1">
      <c r="F537" s="36"/>
      <c r="G537" s="36"/>
      <c r="I537" s="36"/>
      <c r="J537" s="36"/>
      <c r="K537" s="36"/>
    </row>
    <row r="538" ht="15.75" customHeight="1">
      <c r="F538" s="36"/>
      <c r="G538" s="36"/>
      <c r="I538" s="36"/>
      <c r="J538" s="36"/>
      <c r="K538" s="36"/>
    </row>
    <row r="539" ht="15.75" customHeight="1">
      <c r="F539" s="36"/>
      <c r="G539" s="36"/>
      <c r="I539" s="36"/>
      <c r="J539" s="36"/>
      <c r="K539" s="36"/>
    </row>
    <row r="540" ht="15.75" customHeight="1">
      <c r="F540" s="36"/>
      <c r="G540" s="36"/>
      <c r="I540" s="36"/>
      <c r="J540" s="36"/>
      <c r="K540" s="36"/>
    </row>
    <row r="541" ht="15.75" customHeight="1">
      <c r="F541" s="36"/>
      <c r="G541" s="36"/>
      <c r="I541" s="36"/>
      <c r="J541" s="36"/>
      <c r="K541" s="36"/>
    </row>
    <row r="542" ht="15.75" customHeight="1">
      <c r="F542" s="36"/>
      <c r="G542" s="36"/>
      <c r="I542" s="36"/>
      <c r="J542" s="36"/>
      <c r="K542" s="36"/>
    </row>
    <row r="543" ht="15.75" customHeight="1">
      <c r="F543" s="36"/>
      <c r="G543" s="36"/>
      <c r="I543" s="36"/>
      <c r="J543" s="36"/>
      <c r="K543" s="36"/>
    </row>
    <row r="544" ht="15.75" customHeight="1">
      <c r="F544" s="36"/>
      <c r="G544" s="36"/>
      <c r="I544" s="36"/>
      <c r="J544" s="36"/>
      <c r="K544" s="36"/>
    </row>
    <row r="545" ht="15.75" customHeight="1">
      <c r="F545" s="36"/>
      <c r="G545" s="36"/>
      <c r="I545" s="36"/>
      <c r="J545" s="36"/>
      <c r="K545" s="36"/>
    </row>
    <row r="546" ht="15.75" customHeight="1">
      <c r="F546" s="36"/>
      <c r="G546" s="36"/>
      <c r="I546" s="36"/>
      <c r="J546" s="36"/>
      <c r="K546" s="36"/>
    </row>
    <row r="547" ht="15.75" customHeight="1">
      <c r="F547" s="36"/>
      <c r="G547" s="36"/>
      <c r="I547" s="36"/>
      <c r="J547" s="36"/>
      <c r="K547" s="36"/>
    </row>
    <row r="548" ht="15.75" customHeight="1">
      <c r="F548" s="36"/>
      <c r="G548" s="36"/>
      <c r="I548" s="36"/>
      <c r="J548" s="36"/>
      <c r="K548" s="36"/>
    </row>
    <row r="549" ht="15.75" customHeight="1">
      <c r="F549" s="36"/>
      <c r="G549" s="36"/>
      <c r="I549" s="36"/>
      <c r="J549" s="36"/>
      <c r="K549" s="36"/>
    </row>
    <row r="550" ht="15.75" customHeight="1">
      <c r="F550" s="36"/>
      <c r="G550" s="36"/>
      <c r="I550" s="36"/>
      <c r="J550" s="36"/>
      <c r="K550" s="36"/>
    </row>
    <row r="551" ht="15.75" customHeight="1">
      <c r="F551" s="36"/>
      <c r="G551" s="36"/>
      <c r="I551" s="36"/>
      <c r="J551" s="36"/>
      <c r="K551" s="36"/>
    </row>
    <row r="552" ht="15.75" customHeight="1">
      <c r="F552" s="36"/>
      <c r="G552" s="36"/>
      <c r="I552" s="36"/>
      <c r="J552" s="36"/>
      <c r="K552" s="36"/>
    </row>
    <row r="553" ht="15.75" customHeight="1">
      <c r="F553" s="36"/>
      <c r="G553" s="36"/>
      <c r="I553" s="36"/>
      <c r="J553" s="36"/>
      <c r="K553" s="36"/>
    </row>
    <row r="554" ht="15.75" customHeight="1">
      <c r="F554" s="36"/>
      <c r="G554" s="36"/>
      <c r="I554" s="36"/>
      <c r="J554" s="36"/>
      <c r="K554" s="36"/>
    </row>
    <row r="555" ht="15.75" customHeight="1">
      <c r="F555" s="36"/>
      <c r="G555" s="36"/>
      <c r="I555" s="36"/>
      <c r="J555" s="36"/>
      <c r="K555" s="36"/>
    </row>
    <row r="556" ht="15.75" customHeight="1">
      <c r="F556" s="36"/>
      <c r="G556" s="36"/>
      <c r="I556" s="36"/>
      <c r="J556" s="36"/>
      <c r="K556" s="36"/>
    </row>
    <row r="557" ht="15.75" customHeight="1">
      <c r="F557" s="36"/>
      <c r="G557" s="36"/>
      <c r="I557" s="36"/>
      <c r="J557" s="36"/>
      <c r="K557" s="36"/>
    </row>
    <row r="558" ht="15.75" customHeight="1">
      <c r="F558" s="36"/>
      <c r="G558" s="36"/>
      <c r="I558" s="36"/>
      <c r="J558" s="36"/>
      <c r="K558" s="36"/>
    </row>
    <row r="559" ht="15.75" customHeight="1">
      <c r="F559" s="36"/>
      <c r="G559" s="36"/>
      <c r="I559" s="36"/>
      <c r="J559" s="36"/>
      <c r="K559" s="36"/>
    </row>
    <row r="560" ht="15.75" customHeight="1">
      <c r="F560" s="36"/>
      <c r="G560" s="36"/>
      <c r="I560" s="36"/>
      <c r="J560" s="36"/>
      <c r="K560" s="36"/>
    </row>
    <row r="561" ht="15.75" customHeight="1">
      <c r="F561" s="36"/>
      <c r="G561" s="36"/>
      <c r="I561" s="36"/>
      <c r="J561" s="36"/>
      <c r="K561" s="36"/>
    </row>
    <row r="562" ht="15.75" customHeight="1">
      <c r="F562" s="36"/>
      <c r="G562" s="36"/>
      <c r="I562" s="36"/>
      <c r="J562" s="36"/>
      <c r="K562" s="36"/>
    </row>
    <row r="563" ht="15.75" customHeight="1">
      <c r="F563" s="36"/>
      <c r="G563" s="36"/>
      <c r="I563" s="36"/>
      <c r="J563" s="36"/>
      <c r="K563" s="36"/>
    </row>
    <row r="564" ht="15.75" customHeight="1">
      <c r="F564" s="36"/>
      <c r="G564" s="36"/>
      <c r="I564" s="36"/>
      <c r="J564" s="36"/>
      <c r="K564" s="36"/>
    </row>
    <row r="565" ht="15.75" customHeight="1">
      <c r="F565" s="36"/>
      <c r="G565" s="36"/>
      <c r="I565" s="36"/>
      <c r="J565" s="36"/>
      <c r="K565" s="36"/>
    </row>
    <row r="566" ht="15.75" customHeight="1">
      <c r="F566" s="36"/>
      <c r="G566" s="36"/>
      <c r="I566" s="36"/>
      <c r="J566" s="36"/>
      <c r="K566" s="36"/>
    </row>
    <row r="567" ht="15.75" customHeight="1">
      <c r="F567" s="36"/>
      <c r="G567" s="36"/>
      <c r="I567" s="36"/>
      <c r="J567" s="36"/>
      <c r="K567" s="36"/>
    </row>
    <row r="568" ht="15.75" customHeight="1">
      <c r="F568" s="36"/>
      <c r="G568" s="36"/>
      <c r="I568" s="36"/>
      <c r="J568" s="36"/>
      <c r="K568" s="36"/>
    </row>
    <row r="569" ht="15.75" customHeight="1">
      <c r="F569" s="36"/>
      <c r="G569" s="36"/>
      <c r="I569" s="36"/>
      <c r="J569" s="36"/>
      <c r="K569" s="36"/>
    </row>
    <row r="570" ht="15.75" customHeight="1">
      <c r="F570" s="36"/>
      <c r="G570" s="36"/>
      <c r="I570" s="36"/>
      <c r="J570" s="36"/>
      <c r="K570" s="36"/>
    </row>
    <row r="571" ht="15.75" customHeight="1">
      <c r="F571" s="36"/>
      <c r="G571" s="36"/>
      <c r="I571" s="36"/>
      <c r="J571" s="36"/>
      <c r="K571" s="36"/>
    </row>
    <row r="572" ht="15.75" customHeight="1">
      <c r="F572" s="36"/>
      <c r="G572" s="36"/>
      <c r="I572" s="36"/>
      <c r="J572" s="36"/>
      <c r="K572" s="36"/>
    </row>
    <row r="573" ht="15.75" customHeight="1">
      <c r="F573" s="36"/>
      <c r="G573" s="36"/>
      <c r="I573" s="36"/>
      <c r="J573" s="36"/>
      <c r="K573" s="36"/>
    </row>
    <row r="574" ht="15.75" customHeight="1">
      <c r="F574" s="36"/>
      <c r="G574" s="36"/>
      <c r="I574" s="36"/>
      <c r="J574" s="36"/>
      <c r="K574" s="36"/>
    </row>
    <row r="575" ht="15.75" customHeight="1">
      <c r="F575" s="36"/>
      <c r="G575" s="36"/>
      <c r="I575" s="36"/>
      <c r="J575" s="36"/>
      <c r="K575" s="36"/>
    </row>
    <row r="576" ht="15.75" customHeight="1">
      <c r="F576" s="36"/>
      <c r="G576" s="36"/>
      <c r="I576" s="36"/>
      <c r="J576" s="36"/>
      <c r="K576" s="36"/>
    </row>
    <row r="577" ht="15.75" customHeight="1">
      <c r="F577" s="36"/>
      <c r="G577" s="36"/>
      <c r="I577" s="36"/>
      <c r="J577" s="36"/>
      <c r="K577" s="36"/>
    </row>
    <row r="578" ht="15.75" customHeight="1">
      <c r="F578" s="36"/>
      <c r="G578" s="36"/>
      <c r="I578" s="36"/>
      <c r="J578" s="36"/>
      <c r="K578" s="36"/>
    </row>
    <row r="579" ht="15.75" customHeight="1">
      <c r="F579" s="36"/>
      <c r="G579" s="36"/>
      <c r="I579" s="36"/>
      <c r="J579" s="36"/>
      <c r="K579" s="36"/>
    </row>
    <row r="580" ht="15.75" customHeight="1">
      <c r="F580" s="36"/>
      <c r="G580" s="36"/>
      <c r="I580" s="36"/>
      <c r="J580" s="36"/>
      <c r="K580" s="36"/>
    </row>
    <row r="581" ht="15.75" customHeight="1">
      <c r="F581" s="36"/>
      <c r="G581" s="36"/>
      <c r="I581" s="36"/>
      <c r="J581" s="36"/>
      <c r="K581" s="36"/>
    </row>
    <row r="582" ht="15.75" customHeight="1">
      <c r="F582" s="36"/>
      <c r="G582" s="36"/>
      <c r="I582" s="36"/>
      <c r="J582" s="36"/>
      <c r="K582" s="36"/>
    </row>
    <row r="583" ht="15.75" customHeight="1">
      <c r="F583" s="36"/>
      <c r="G583" s="36"/>
      <c r="I583" s="36"/>
      <c r="J583" s="36"/>
      <c r="K583" s="36"/>
    </row>
    <row r="584" ht="15.75" customHeight="1">
      <c r="F584" s="36"/>
      <c r="G584" s="36"/>
      <c r="I584" s="36"/>
      <c r="J584" s="36"/>
      <c r="K584" s="36"/>
    </row>
    <row r="585" ht="15.75" customHeight="1">
      <c r="F585" s="36"/>
      <c r="G585" s="36"/>
      <c r="I585" s="36"/>
      <c r="J585" s="36"/>
      <c r="K585" s="36"/>
    </row>
    <row r="586" ht="15.75" customHeight="1">
      <c r="F586" s="36"/>
      <c r="G586" s="36"/>
      <c r="I586" s="36"/>
      <c r="J586" s="36"/>
      <c r="K586" s="36"/>
    </row>
    <row r="587" ht="15.75" customHeight="1">
      <c r="F587" s="36"/>
      <c r="G587" s="36"/>
      <c r="I587" s="36"/>
      <c r="J587" s="36"/>
      <c r="K587" s="36"/>
    </row>
    <row r="588" ht="15.75" customHeight="1">
      <c r="F588" s="36"/>
      <c r="G588" s="36"/>
      <c r="I588" s="36"/>
      <c r="J588" s="36"/>
      <c r="K588" s="36"/>
    </row>
    <row r="589" ht="15.75" customHeight="1">
      <c r="F589" s="36"/>
      <c r="G589" s="36"/>
      <c r="I589" s="36"/>
      <c r="J589" s="36"/>
      <c r="K589" s="36"/>
    </row>
    <row r="590" ht="15.75" customHeight="1">
      <c r="F590" s="36"/>
      <c r="G590" s="36"/>
      <c r="I590" s="36"/>
      <c r="J590" s="36"/>
      <c r="K590" s="36"/>
    </row>
    <row r="591" ht="15.75" customHeight="1">
      <c r="F591" s="36"/>
      <c r="G591" s="36"/>
      <c r="I591" s="36"/>
      <c r="J591" s="36"/>
      <c r="K591" s="36"/>
    </row>
    <row r="592" ht="15.75" customHeight="1">
      <c r="F592" s="36"/>
      <c r="G592" s="36"/>
      <c r="I592" s="36"/>
      <c r="J592" s="36"/>
      <c r="K592" s="36"/>
    </row>
    <row r="593" ht="15.75" customHeight="1">
      <c r="F593" s="36"/>
      <c r="G593" s="36"/>
      <c r="I593" s="36"/>
      <c r="J593" s="36"/>
      <c r="K593" s="36"/>
    </row>
    <row r="594" ht="15.75" customHeight="1">
      <c r="F594" s="36"/>
      <c r="G594" s="36"/>
      <c r="I594" s="36"/>
      <c r="J594" s="36"/>
      <c r="K594" s="36"/>
    </row>
    <row r="595" ht="15.75" customHeight="1">
      <c r="F595" s="36"/>
      <c r="G595" s="36"/>
      <c r="I595" s="36"/>
      <c r="J595" s="36"/>
      <c r="K595" s="36"/>
    </row>
    <row r="596" ht="15.75" customHeight="1">
      <c r="F596" s="36"/>
      <c r="G596" s="36"/>
      <c r="I596" s="36"/>
      <c r="J596" s="36"/>
      <c r="K596" s="36"/>
    </row>
    <row r="597" ht="15.75" customHeight="1">
      <c r="F597" s="36"/>
      <c r="G597" s="36"/>
      <c r="I597" s="36"/>
      <c r="J597" s="36"/>
      <c r="K597" s="36"/>
    </row>
    <row r="598" ht="15.75" customHeight="1">
      <c r="F598" s="36"/>
      <c r="G598" s="36"/>
      <c r="I598" s="36"/>
      <c r="J598" s="36"/>
      <c r="K598" s="36"/>
    </row>
    <row r="599" ht="15.75" customHeight="1">
      <c r="F599" s="36"/>
      <c r="G599" s="36"/>
      <c r="I599" s="36"/>
      <c r="J599" s="36"/>
      <c r="K599" s="36"/>
    </row>
    <row r="600" ht="15.75" customHeight="1">
      <c r="F600" s="36"/>
      <c r="G600" s="36"/>
      <c r="I600" s="36"/>
      <c r="J600" s="36"/>
      <c r="K600" s="36"/>
    </row>
    <row r="601" ht="15.75" customHeight="1">
      <c r="F601" s="36"/>
      <c r="G601" s="36"/>
      <c r="I601" s="36"/>
      <c r="J601" s="36"/>
      <c r="K601" s="36"/>
    </row>
    <row r="602" ht="15.75" customHeight="1">
      <c r="F602" s="36"/>
      <c r="G602" s="36"/>
      <c r="I602" s="36"/>
      <c r="J602" s="36"/>
      <c r="K602" s="36"/>
    </row>
    <row r="603" ht="15.75" customHeight="1">
      <c r="F603" s="36"/>
      <c r="G603" s="36"/>
      <c r="I603" s="36"/>
      <c r="J603" s="36"/>
      <c r="K603" s="36"/>
    </row>
    <row r="604" ht="15.75" customHeight="1">
      <c r="F604" s="36"/>
      <c r="G604" s="36"/>
      <c r="I604" s="36"/>
      <c r="J604" s="36"/>
      <c r="K604" s="36"/>
    </row>
    <row r="605" ht="15.75" customHeight="1">
      <c r="F605" s="36"/>
      <c r="G605" s="36"/>
      <c r="I605" s="36"/>
      <c r="J605" s="36"/>
      <c r="K605" s="36"/>
    </row>
    <row r="606" ht="15.75" customHeight="1">
      <c r="F606" s="36"/>
      <c r="G606" s="36"/>
      <c r="I606" s="36"/>
      <c r="J606" s="36"/>
      <c r="K606" s="36"/>
    </row>
    <row r="607" ht="15.75" customHeight="1">
      <c r="F607" s="36"/>
      <c r="G607" s="36"/>
      <c r="I607" s="36"/>
      <c r="J607" s="36"/>
      <c r="K607" s="36"/>
    </row>
    <row r="608" ht="15.75" customHeight="1">
      <c r="F608" s="36"/>
      <c r="G608" s="36"/>
      <c r="I608" s="36"/>
      <c r="J608" s="36"/>
      <c r="K608" s="36"/>
    </row>
    <row r="609" ht="15.75" customHeight="1">
      <c r="F609" s="36"/>
      <c r="G609" s="36"/>
      <c r="I609" s="36"/>
      <c r="J609" s="36"/>
      <c r="K609" s="36"/>
    </row>
    <row r="610" ht="15.75" customHeight="1">
      <c r="F610" s="36"/>
      <c r="G610" s="36"/>
      <c r="I610" s="36"/>
      <c r="J610" s="36"/>
      <c r="K610" s="36"/>
    </row>
    <row r="611" ht="15.75" customHeight="1">
      <c r="F611" s="36"/>
      <c r="G611" s="36"/>
      <c r="I611" s="36"/>
      <c r="J611" s="36"/>
      <c r="K611" s="36"/>
    </row>
    <row r="612" ht="15.75" customHeight="1">
      <c r="F612" s="36"/>
      <c r="G612" s="36"/>
      <c r="I612" s="36"/>
      <c r="J612" s="36"/>
      <c r="K612" s="36"/>
    </row>
    <row r="613" ht="15.75" customHeight="1">
      <c r="F613" s="36"/>
      <c r="G613" s="36"/>
      <c r="I613" s="36"/>
      <c r="J613" s="36"/>
      <c r="K613" s="36"/>
    </row>
    <row r="614" ht="15.75" customHeight="1">
      <c r="F614" s="36"/>
      <c r="G614" s="36"/>
      <c r="I614" s="36"/>
      <c r="J614" s="36"/>
      <c r="K614" s="36"/>
    </row>
    <row r="615" ht="15.75" customHeight="1">
      <c r="F615" s="36"/>
      <c r="G615" s="36"/>
      <c r="I615" s="36"/>
      <c r="J615" s="36"/>
      <c r="K615" s="36"/>
    </row>
    <row r="616" ht="15.75" customHeight="1">
      <c r="F616" s="36"/>
      <c r="G616" s="36"/>
      <c r="I616" s="36"/>
      <c r="J616" s="36"/>
      <c r="K616" s="36"/>
    </row>
    <row r="617" ht="15.75" customHeight="1">
      <c r="F617" s="36"/>
      <c r="G617" s="36"/>
      <c r="I617" s="36"/>
      <c r="J617" s="36"/>
      <c r="K617" s="36"/>
    </row>
    <row r="618" ht="15.75" customHeight="1">
      <c r="F618" s="36"/>
      <c r="G618" s="36"/>
      <c r="I618" s="36"/>
      <c r="J618" s="36"/>
      <c r="K618" s="36"/>
    </row>
    <row r="619" ht="15.75" customHeight="1">
      <c r="F619" s="36"/>
      <c r="G619" s="36"/>
      <c r="I619" s="36"/>
      <c r="J619" s="36"/>
      <c r="K619" s="36"/>
    </row>
    <row r="620" ht="15.75" customHeight="1">
      <c r="F620" s="36"/>
      <c r="G620" s="36"/>
      <c r="I620" s="36"/>
      <c r="J620" s="36"/>
      <c r="K620" s="36"/>
    </row>
    <row r="621" ht="15.75" customHeight="1">
      <c r="F621" s="36"/>
      <c r="G621" s="36"/>
      <c r="I621" s="36"/>
      <c r="J621" s="36"/>
      <c r="K621" s="36"/>
    </row>
    <row r="622" ht="15.75" customHeight="1">
      <c r="F622" s="36"/>
      <c r="G622" s="36"/>
      <c r="I622" s="36"/>
      <c r="J622" s="36"/>
      <c r="K622" s="36"/>
    </row>
    <row r="623" ht="15.75" customHeight="1">
      <c r="F623" s="36"/>
      <c r="G623" s="36"/>
      <c r="I623" s="36"/>
      <c r="J623" s="36"/>
      <c r="K623" s="36"/>
    </row>
    <row r="624" ht="15.75" customHeight="1">
      <c r="F624" s="36"/>
      <c r="G624" s="36"/>
      <c r="I624" s="36"/>
      <c r="J624" s="36"/>
      <c r="K624" s="36"/>
    </row>
    <row r="625" ht="15.75" customHeight="1">
      <c r="F625" s="36"/>
      <c r="G625" s="36"/>
      <c r="I625" s="36"/>
      <c r="J625" s="36"/>
      <c r="K625" s="36"/>
    </row>
    <row r="626" ht="15.75" customHeight="1">
      <c r="F626" s="36"/>
      <c r="G626" s="36"/>
      <c r="I626" s="36"/>
      <c r="J626" s="36"/>
      <c r="K626" s="36"/>
    </row>
    <row r="627" ht="15.75" customHeight="1">
      <c r="F627" s="36"/>
      <c r="G627" s="36"/>
      <c r="I627" s="36"/>
      <c r="J627" s="36"/>
      <c r="K627" s="36"/>
    </row>
    <row r="628" ht="15.75" customHeight="1">
      <c r="F628" s="36"/>
      <c r="G628" s="36"/>
      <c r="I628" s="36"/>
      <c r="J628" s="36"/>
      <c r="K628" s="36"/>
    </row>
    <row r="629" ht="15.75" customHeight="1">
      <c r="F629" s="36"/>
      <c r="G629" s="36"/>
      <c r="I629" s="36"/>
      <c r="J629" s="36"/>
      <c r="K629" s="36"/>
    </row>
    <row r="630" ht="15.75" customHeight="1">
      <c r="F630" s="36"/>
      <c r="G630" s="36"/>
      <c r="I630" s="36"/>
      <c r="J630" s="36"/>
      <c r="K630" s="36"/>
    </row>
    <row r="631" ht="15.75" customHeight="1">
      <c r="F631" s="36"/>
      <c r="G631" s="36"/>
      <c r="I631" s="36"/>
      <c r="J631" s="36"/>
      <c r="K631" s="36"/>
    </row>
    <row r="632" ht="15.75" customHeight="1">
      <c r="F632" s="36"/>
      <c r="G632" s="36"/>
      <c r="I632" s="36"/>
      <c r="J632" s="36"/>
      <c r="K632" s="36"/>
    </row>
    <row r="633" ht="15.75" customHeight="1">
      <c r="F633" s="36"/>
      <c r="G633" s="36"/>
      <c r="I633" s="36"/>
      <c r="J633" s="36"/>
      <c r="K633" s="36"/>
    </row>
    <row r="634" ht="15.75" customHeight="1">
      <c r="F634" s="36"/>
      <c r="G634" s="36"/>
      <c r="I634" s="36"/>
      <c r="J634" s="36"/>
      <c r="K634" s="36"/>
    </row>
    <row r="635" ht="15.75" customHeight="1">
      <c r="F635" s="36"/>
      <c r="G635" s="36"/>
      <c r="I635" s="36"/>
      <c r="J635" s="36"/>
      <c r="K635" s="36"/>
    </row>
    <row r="636" ht="15.75" customHeight="1">
      <c r="F636" s="36"/>
      <c r="G636" s="36"/>
      <c r="I636" s="36"/>
      <c r="J636" s="36"/>
      <c r="K636" s="36"/>
    </row>
    <row r="637" ht="15.75" customHeight="1">
      <c r="F637" s="36"/>
      <c r="G637" s="36"/>
      <c r="I637" s="36"/>
      <c r="J637" s="36"/>
      <c r="K637" s="36"/>
    </row>
    <row r="638" ht="15.75" customHeight="1">
      <c r="F638" s="36"/>
      <c r="G638" s="36"/>
      <c r="I638" s="36"/>
      <c r="J638" s="36"/>
      <c r="K638" s="36"/>
    </row>
    <row r="639" ht="15.75" customHeight="1">
      <c r="F639" s="36"/>
      <c r="G639" s="36"/>
      <c r="I639" s="36"/>
      <c r="J639" s="36"/>
      <c r="K639" s="36"/>
    </row>
    <row r="640" ht="15.75" customHeight="1">
      <c r="F640" s="36"/>
      <c r="G640" s="36"/>
      <c r="I640" s="36"/>
      <c r="J640" s="36"/>
      <c r="K640" s="36"/>
    </row>
    <row r="641" ht="15.75" customHeight="1">
      <c r="F641" s="36"/>
      <c r="G641" s="36"/>
      <c r="I641" s="36"/>
      <c r="J641" s="36"/>
      <c r="K641" s="36"/>
    </row>
    <row r="642" ht="15.75" customHeight="1">
      <c r="F642" s="36"/>
      <c r="G642" s="36"/>
      <c r="I642" s="36"/>
      <c r="J642" s="36"/>
      <c r="K642" s="36"/>
    </row>
    <row r="643" ht="15.75" customHeight="1">
      <c r="F643" s="36"/>
      <c r="G643" s="36"/>
      <c r="I643" s="36"/>
      <c r="J643" s="36"/>
      <c r="K643" s="36"/>
    </row>
    <row r="644" ht="15.75" customHeight="1">
      <c r="F644" s="36"/>
      <c r="G644" s="36"/>
      <c r="I644" s="36"/>
      <c r="J644" s="36"/>
      <c r="K644" s="36"/>
    </row>
    <row r="645" ht="15.75" customHeight="1">
      <c r="F645" s="36"/>
      <c r="G645" s="36"/>
      <c r="I645" s="36"/>
      <c r="J645" s="36"/>
      <c r="K645" s="36"/>
    </row>
    <row r="646" ht="15.75" customHeight="1">
      <c r="F646" s="36"/>
      <c r="G646" s="36"/>
      <c r="I646" s="36"/>
      <c r="J646" s="36"/>
      <c r="K646" s="36"/>
    </row>
    <row r="647" ht="15.75" customHeight="1">
      <c r="F647" s="36"/>
      <c r="G647" s="36"/>
      <c r="I647" s="36"/>
      <c r="J647" s="36"/>
      <c r="K647" s="36"/>
    </row>
    <row r="648" ht="15.75" customHeight="1">
      <c r="F648" s="36"/>
      <c r="G648" s="36"/>
      <c r="I648" s="36"/>
      <c r="J648" s="36"/>
      <c r="K648" s="36"/>
    </row>
    <row r="649" ht="15.75" customHeight="1">
      <c r="F649" s="36"/>
      <c r="G649" s="36"/>
      <c r="I649" s="36"/>
      <c r="J649" s="36"/>
      <c r="K649" s="36"/>
    </row>
    <row r="650" ht="15.75" customHeight="1">
      <c r="F650" s="36"/>
      <c r="G650" s="36"/>
      <c r="I650" s="36"/>
      <c r="J650" s="36"/>
      <c r="K650" s="36"/>
    </row>
    <row r="651" ht="15.75" customHeight="1">
      <c r="F651" s="36"/>
      <c r="G651" s="36"/>
      <c r="I651" s="36"/>
      <c r="J651" s="36"/>
      <c r="K651" s="36"/>
    </row>
    <row r="652" ht="15.75" customHeight="1">
      <c r="F652" s="36"/>
      <c r="G652" s="36"/>
      <c r="I652" s="36"/>
      <c r="J652" s="36"/>
      <c r="K652" s="36"/>
    </row>
    <row r="653" ht="15.75" customHeight="1">
      <c r="F653" s="36"/>
      <c r="G653" s="36"/>
      <c r="I653" s="36"/>
      <c r="J653" s="36"/>
      <c r="K653" s="36"/>
    </row>
    <row r="654" ht="15.75" customHeight="1">
      <c r="F654" s="36"/>
      <c r="G654" s="36"/>
      <c r="I654" s="36"/>
      <c r="J654" s="36"/>
      <c r="K654" s="36"/>
    </row>
    <row r="655" ht="15.75" customHeight="1">
      <c r="F655" s="36"/>
      <c r="G655" s="36"/>
      <c r="I655" s="36"/>
      <c r="J655" s="36"/>
      <c r="K655" s="36"/>
    </row>
    <row r="656" ht="15.75" customHeight="1">
      <c r="F656" s="36"/>
      <c r="G656" s="36"/>
      <c r="I656" s="36"/>
      <c r="J656" s="36"/>
      <c r="K656" s="36"/>
    </row>
    <row r="657" ht="15.75" customHeight="1">
      <c r="F657" s="36"/>
      <c r="G657" s="36"/>
      <c r="I657" s="36"/>
      <c r="J657" s="36"/>
      <c r="K657" s="36"/>
    </row>
    <row r="658" ht="15.75" customHeight="1">
      <c r="F658" s="36"/>
      <c r="G658" s="36"/>
      <c r="I658" s="36"/>
      <c r="J658" s="36"/>
      <c r="K658" s="36"/>
    </row>
    <row r="659" ht="15.75" customHeight="1">
      <c r="F659" s="36"/>
      <c r="G659" s="36"/>
      <c r="I659" s="36"/>
      <c r="J659" s="36"/>
      <c r="K659" s="36"/>
    </row>
    <row r="660" ht="15.75" customHeight="1">
      <c r="F660" s="36"/>
      <c r="G660" s="36"/>
      <c r="I660" s="36"/>
      <c r="J660" s="36"/>
      <c r="K660" s="36"/>
    </row>
    <row r="661" ht="15.75" customHeight="1">
      <c r="F661" s="36"/>
      <c r="G661" s="36"/>
      <c r="I661" s="36"/>
      <c r="J661" s="36"/>
      <c r="K661" s="36"/>
    </row>
    <row r="662" ht="15.75" customHeight="1">
      <c r="F662" s="36"/>
      <c r="G662" s="36"/>
      <c r="I662" s="36"/>
      <c r="J662" s="36"/>
      <c r="K662" s="36"/>
    </row>
    <row r="663" ht="15.75" customHeight="1">
      <c r="F663" s="36"/>
      <c r="G663" s="36"/>
      <c r="I663" s="36"/>
      <c r="J663" s="36"/>
      <c r="K663" s="36"/>
    </row>
    <row r="664" ht="15.75" customHeight="1">
      <c r="F664" s="36"/>
      <c r="G664" s="36"/>
      <c r="I664" s="36"/>
      <c r="J664" s="36"/>
      <c r="K664" s="36"/>
    </row>
    <row r="665" ht="15.75" customHeight="1">
      <c r="F665" s="36"/>
      <c r="G665" s="36"/>
      <c r="I665" s="36"/>
      <c r="J665" s="36"/>
      <c r="K665" s="36"/>
    </row>
    <row r="666" ht="15.75" customHeight="1">
      <c r="F666" s="36"/>
      <c r="G666" s="36"/>
      <c r="I666" s="36"/>
      <c r="J666" s="36"/>
      <c r="K666" s="36"/>
    </row>
    <row r="667" ht="15.75" customHeight="1">
      <c r="F667" s="36"/>
      <c r="G667" s="36"/>
      <c r="I667" s="36"/>
      <c r="J667" s="36"/>
      <c r="K667" s="36"/>
    </row>
    <row r="668" ht="15.75" customHeight="1">
      <c r="F668" s="36"/>
      <c r="G668" s="36"/>
      <c r="I668" s="36"/>
      <c r="J668" s="36"/>
      <c r="K668" s="36"/>
    </row>
    <row r="669" ht="15.75" customHeight="1">
      <c r="F669" s="36"/>
      <c r="G669" s="36"/>
      <c r="I669" s="36"/>
      <c r="J669" s="36"/>
      <c r="K669" s="36"/>
    </row>
    <row r="670" ht="15.75" customHeight="1">
      <c r="F670" s="36"/>
      <c r="G670" s="36"/>
      <c r="I670" s="36"/>
      <c r="J670" s="36"/>
      <c r="K670" s="36"/>
    </row>
    <row r="671" ht="15.75" customHeight="1">
      <c r="F671" s="36"/>
      <c r="G671" s="36"/>
      <c r="I671" s="36"/>
      <c r="J671" s="36"/>
      <c r="K671" s="36"/>
    </row>
    <row r="672" ht="15.75" customHeight="1">
      <c r="F672" s="36"/>
      <c r="G672" s="36"/>
      <c r="I672" s="36"/>
      <c r="J672" s="36"/>
      <c r="K672" s="36"/>
    </row>
    <row r="673" ht="15.75" customHeight="1">
      <c r="F673" s="36"/>
      <c r="G673" s="36"/>
      <c r="I673" s="36"/>
      <c r="J673" s="36"/>
      <c r="K673" s="36"/>
    </row>
    <row r="674" ht="15.75" customHeight="1">
      <c r="F674" s="36"/>
      <c r="G674" s="36"/>
      <c r="I674" s="36"/>
      <c r="J674" s="36"/>
      <c r="K674" s="36"/>
    </row>
    <row r="675" ht="15.75" customHeight="1">
      <c r="F675" s="36"/>
      <c r="G675" s="36"/>
      <c r="I675" s="36"/>
      <c r="J675" s="36"/>
      <c r="K675" s="36"/>
    </row>
    <row r="676" ht="15.75" customHeight="1">
      <c r="F676" s="36"/>
      <c r="G676" s="36"/>
      <c r="I676" s="36"/>
      <c r="J676" s="36"/>
      <c r="K676" s="36"/>
    </row>
    <row r="677" ht="15.75" customHeight="1">
      <c r="F677" s="36"/>
      <c r="G677" s="36"/>
      <c r="I677" s="36"/>
      <c r="J677" s="36"/>
      <c r="K677" s="36"/>
    </row>
    <row r="678" ht="15.75" customHeight="1">
      <c r="F678" s="36"/>
      <c r="G678" s="36"/>
      <c r="I678" s="36"/>
      <c r="J678" s="36"/>
      <c r="K678" s="36"/>
    </row>
    <row r="679" ht="15.75" customHeight="1">
      <c r="F679" s="36"/>
      <c r="G679" s="36"/>
      <c r="I679" s="36"/>
      <c r="J679" s="36"/>
      <c r="K679" s="36"/>
    </row>
    <row r="680" ht="15.75" customHeight="1">
      <c r="F680" s="36"/>
      <c r="G680" s="36"/>
      <c r="I680" s="36"/>
      <c r="J680" s="36"/>
      <c r="K680" s="36"/>
    </row>
    <row r="681" ht="15.75" customHeight="1">
      <c r="F681" s="36"/>
      <c r="G681" s="36"/>
      <c r="I681" s="36"/>
      <c r="J681" s="36"/>
      <c r="K681" s="36"/>
    </row>
    <row r="682" ht="15.75" customHeight="1">
      <c r="F682" s="36"/>
      <c r="G682" s="36"/>
      <c r="I682" s="36"/>
      <c r="J682" s="36"/>
      <c r="K682" s="36"/>
    </row>
    <row r="683" ht="15.75" customHeight="1">
      <c r="F683" s="36"/>
      <c r="G683" s="36"/>
      <c r="I683" s="36"/>
      <c r="J683" s="36"/>
      <c r="K683" s="36"/>
    </row>
    <row r="684" ht="15.75" customHeight="1">
      <c r="F684" s="36"/>
      <c r="G684" s="36"/>
      <c r="I684" s="36"/>
      <c r="J684" s="36"/>
      <c r="K684" s="36"/>
    </row>
    <row r="685" ht="15.75" customHeight="1">
      <c r="F685" s="36"/>
      <c r="G685" s="36"/>
      <c r="I685" s="36"/>
      <c r="J685" s="36"/>
      <c r="K685" s="36"/>
    </row>
    <row r="686" ht="15.75" customHeight="1">
      <c r="F686" s="36"/>
      <c r="G686" s="36"/>
      <c r="I686" s="36"/>
      <c r="J686" s="36"/>
      <c r="K686" s="36"/>
    </row>
    <row r="687" ht="15.75" customHeight="1">
      <c r="F687" s="36"/>
      <c r="G687" s="36"/>
      <c r="I687" s="36"/>
      <c r="J687" s="36"/>
      <c r="K687" s="36"/>
    </row>
    <row r="688" ht="15.75" customHeight="1">
      <c r="F688" s="36"/>
      <c r="G688" s="36"/>
      <c r="I688" s="36"/>
      <c r="J688" s="36"/>
      <c r="K688" s="36"/>
    </row>
    <row r="689" ht="15.75" customHeight="1">
      <c r="F689" s="36"/>
      <c r="G689" s="36"/>
      <c r="I689" s="36"/>
      <c r="J689" s="36"/>
      <c r="K689" s="36"/>
    </row>
    <row r="690" ht="15.75" customHeight="1">
      <c r="F690" s="36"/>
      <c r="G690" s="36"/>
      <c r="I690" s="36"/>
      <c r="J690" s="36"/>
      <c r="K690" s="36"/>
    </row>
    <row r="691" ht="15.75" customHeight="1">
      <c r="F691" s="36"/>
      <c r="G691" s="36"/>
      <c r="I691" s="36"/>
      <c r="J691" s="36"/>
      <c r="K691" s="36"/>
    </row>
    <row r="692" ht="15.75" customHeight="1">
      <c r="F692" s="36"/>
      <c r="G692" s="36"/>
      <c r="I692" s="36"/>
      <c r="J692" s="36"/>
      <c r="K692" s="36"/>
    </row>
    <row r="693" ht="15.75" customHeight="1">
      <c r="F693" s="36"/>
      <c r="G693" s="36"/>
      <c r="I693" s="36"/>
      <c r="J693" s="36"/>
      <c r="K693" s="36"/>
    </row>
    <row r="694" ht="15.75" customHeight="1">
      <c r="F694" s="36"/>
      <c r="G694" s="36"/>
      <c r="I694" s="36"/>
      <c r="J694" s="36"/>
      <c r="K694" s="36"/>
    </row>
    <row r="695" ht="15.75" customHeight="1">
      <c r="F695" s="36"/>
      <c r="G695" s="36"/>
      <c r="I695" s="36"/>
      <c r="J695" s="36"/>
      <c r="K695" s="36"/>
    </row>
    <row r="696" ht="15.75" customHeight="1">
      <c r="F696" s="36"/>
      <c r="G696" s="36"/>
      <c r="I696" s="36"/>
      <c r="J696" s="36"/>
      <c r="K696" s="36"/>
    </row>
    <row r="697" ht="15.75" customHeight="1">
      <c r="F697" s="36"/>
      <c r="G697" s="36"/>
      <c r="I697" s="36"/>
      <c r="J697" s="36"/>
      <c r="K697" s="36"/>
    </row>
    <row r="698" ht="15.75" customHeight="1">
      <c r="F698" s="36"/>
      <c r="G698" s="36"/>
      <c r="I698" s="36"/>
      <c r="J698" s="36"/>
      <c r="K698" s="36"/>
    </row>
    <row r="699" ht="15.75" customHeight="1">
      <c r="F699" s="36"/>
      <c r="G699" s="36"/>
      <c r="I699" s="36"/>
      <c r="J699" s="36"/>
      <c r="K699" s="36"/>
    </row>
    <row r="700" ht="15.75" customHeight="1">
      <c r="F700" s="36"/>
      <c r="G700" s="36"/>
      <c r="I700" s="36"/>
      <c r="J700" s="36"/>
      <c r="K700" s="36"/>
    </row>
    <row r="701" ht="15.75" customHeight="1">
      <c r="F701" s="36"/>
      <c r="G701" s="36"/>
      <c r="I701" s="36"/>
      <c r="J701" s="36"/>
      <c r="K701" s="36"/>
    </row>
    <row r="702" ht="15.75" customHeight="1">
      <c r="F702" s="36"/>
      <c r="G702" s="36"/>
      <c r="I702" s="36"/>
      <c r="J702" s="36"/>
      <c r="K702" s="36"/>
    </row>
    <row r="703" ht="15.75" customHeight="1">
      <c r="F703" s="36"/>
      <c r="G703" s="36"/>
      <c r="I703" s="36"/>
      <c r="J703" s="36"/>
      <c r="K703" s="36"/>
    </row>
    <row r="704" ht="15.75" customHeight="1">
      <c r="F704" s="36"/>
      <c r="G704" s="36"/>
      <c r="I704" s="36"/>
      <c r="J704" s="36"/>
      <c r="K704" s="36"/>
    </row>
    <row r="705" ht="15.75" customHeight="1">
      <c r="F705" s="36"/>
      <c r="G705" s="36"/>
      <c r="I705" s="36"/>
      <c r="J705" s="36"/>
      <c r="K705" s="36"/>
    </row>
    <row r="706" ht="15.75" customHeight="1">
      <c r="F706" s="36"/>
      <c r="G706" s="36"/>
      <c r="I706" s="36"/>
      <c r="J706" s="36"/>
      <c r="K706" s="36"/>
    </row>
    <row r="707" ht="15.75" customHeight="1">
      <c r="F707" s="36"/>
      <c r="G707" s="36"/>
      <c r="I707" s="36"/>
      <c r="J707" s="36"/>
      <c r="K707" s="36"/>
    </row>
    <row r="708" ht="15.75" customHeight="1">
      <c r="F708" s="36"/>
      <c r="G708" s="36"/>
      <c r="I708" s="36"/>
      <c r="J708" s="36"/>
      <c r="K708" s="36"/>
    </row>
    <row r="709" ht="15.75" customHeight="1">
      <c r="F709" s="36"/>
      <c r="G709" s="36"/>
      <c r="I709" s="36"/>
      <c r="J709" s="36"/>
      <c r="K709" s="36"/>
    </row>
    <row r="710" ht="15.75" customHeight="1">
      <c r="F710" s="36"/>
      <c r="G710" s="36"/>
      <c r="I710" s="36"/>
      <c r="J710" s="36"/>
      <c r="K710" s="36"/>
    </row>
    <row r="711" ht="15.75" customHeight="1">
      <c r="F711" s="36"/>
      <c r="G711" s="36"/>
      <c r="I711" s="36"/>
      <c r="J711" s="36"/>
      <c r="K711" s="36"/>
    </row>
    <row r="712" ht="15.75" customHeight="1">
      <c r="F712" s="36"/>
      <c r="G712" s="36"/>
      <c r="I712" s="36"/>
      <c r="J712" s="36"/>
      <c r="K712" s="36"/>
    </row>
    <row r="713" ht="15.75" customHeight="1">
      <c r="F713" s="36"/>
      <c r="G713" s="36"/>
      <c r="I713" s="36"/>
      <c r="J713" s="36"/>
      <c r="K713" s="36"/>
    </row>
    <row r="714" ht="15.75" customHeight="1">
      <c r="F714" s="36"/>
      <c r="G714" s="36"/>
      <c r="I714" s="36"/>
      <c r="J714" s="36"/>
      <c r="K714" s="36"/>
    </row>
    <row r="715" ht="15.75" customHeight="1">
      <c r="F715" s="36"/>
      <c r="G715" s="36"/>
      <c r="I715" s="36"/>
      <c r="J715" s="36"/>
      <c r="K715" s="36"/>
    </row>
    <row r="716" ht="15.75" customHeight="1">
      <c r="F716" s="36"/>
      <c r="G716" s="36"/>
      <c r="I716" s="36"/>
      <c r="J716" s="36"/>
      <c r="K716" s="36"/>
    </row>
    <row r="717" ht="15.75" customHeight="1">
      <c r="F717" s="36"/>
      <c r="G717" s="36"/>
      <c r="I717" s="36"/>
      <c r="J717" s="36"/>
      <c r="K717" s="36"/>
    </row>
    <row r="718" ht="15.75" customHeight="1">
      <c r="F718" s="36"/>
      <c r="G718" s="36"/>
      <c r="I718" s="36"/>
      <c r="J718" s="36"/>
      <c r="K718" s="36"/>
    </row>
    <row r="719" ht="15.75" customHeight="1">
      <c r="F719" s="36"/>
      <c r="G719" s="36"/>
      <c r="I719" s="36"/>
      <c r="J719" s="36"/>
      <c r="K719" s="36"/>
    </row>
    <row r="720" ht="15.75" customHeight="1">
      <c r="F720" s="36"/>
      <c r="G720" s="36"/>
      <c r="I720" s="36"/>
      <c r="J720" s="36"/>
      <c r="K720" s="36"/>
    </row>
    <row r="721" ht="15.75" customHeight="1">
      <c r="F721" s="36"/>
      <c r="G721" s="36"/>
      <c r="I721" s="36"/>
      <c r="J721" s="36"/>
      <c r="K721" s="36"/>
    </row>
    <row r="722" ht="15.75" customHeight="1">
      <c r="F722" s="36"/>
      <c r="G722" s="36"/>
      <c r="I722" s="36"/>
      <c r="J722" s="36"/>
      <c r="K722" s="36"/>
    </row>
    <row r="723" ht="15.75" customHeight="1">
      <c r="F723" s="36"/>
      <c r="G723" s="36"/>
      <c r="I723" s="36"/>
      <c r="J723" s="36"/>
      <c r="K723" s="36"/>
    </row>
    <row r="724" ht="15.75" customHeight="1">
      <c r="F724" s="36"/>
      <c r="G724" s="36"/>
      <c r="I724" s="36"/>
      <c r="J724" s="36"/>
      <c r="K724" s="36"/>
    </row>
    <row r="725" ht="15.75" customHeight="1">
      <c r="F725" s="36"/>
      <c r="G725" s="36"/>
      <c r="I725" s="36"/>
      <c r="J725" s="36"/>
      <c r="K725" s="36"/>
    </row>
    <row r="726" ht="15.75" customHeight="1">
      <c r="F726" s="36"/>
      <c r="G726" s="36"/>
      <c r="I726" s="36"/>
      <c r="J726" s="36"/>
      <c r="K726" s="36"/>
    </row>
    <row r="727" ht="15.75" customHeight="1">
      <c r="F727" s="36"/>
      <c r="G727" s="36"/>
      <c r="I727" s="36"/>
      <c r="J727" s="36"/>
      <c r="K727" s="36"/>
    </row>
    <row r="728" ht="15.75" customHeight="1">
      <c r="F728" s="36"/>
      <c r="G728" s="36"/>
      <c r="I728" s="36"/>
      <c r="J728" s="36"/>
      <c r="K728" s="36"/>
    </row>
    <row r="729" ht="15.75" customHeight="1">
      <c r="F729" s="36"/>
      <c r="G729" s="36"/>
      <c r="I729" s="36"/>
      <c r="J729" s="36"/>
      <c r="K729" s="36"/>
    </row>
    <row r="730" ht="15.75" customHeight="1">
      <c r="F730" s="36"/>
      <c r="G730" s="36"/>
      <c r="I730" s="36"/>
      <c r="J730" s="36"/>
      <c r="K730" s="36"/>
    </row>
    <row r="731" ht="15.75" customHeight="1">
      <c r="F731" s="36"/>
      <c r="G731" s="36"/>
      <c r="I731" s="36"/>
      <c r="J731" s="36"/>
      <c r="K731" s="36"/>
    </row>
    <row r="732" ht="15.75" customHeight="1">
      <c r="F732" s="36"/>
      <c r="G732" s="36"/>
      <c r="I732" s="36"/>
      <c r="J732" s="36"/>
      <c r="K732" s="36"/>
    </row>
    <row r="733" ht="15.75" customHeight="1">
      <c r="F733" s="36"/>
      <c r="G733" s="36"/>
      <c r="I733" s="36"/>
      <c r="J733" s="36"/>
      <c r="K733" s="36"/>
    </row>
    <row r="734" ht="15.75" customHeight="1">
      <c r="F734" s="36"/>
      <c r="G734" s="36"/>
      <c r="I734" s="36"/>
      <c r="J734" s="36"/>
      <c r="K734" s="36"/>
    </row>
    <row r="735" ht="15.75" customHeight="1">
      <c r="F735" s="36"/>
      <c r="G735" s="36"/>
      <c r="I735" s="36"/>
      <c r="J735" s="36"/>
      <c r="K735" s="36"/>
    </row>
    <row r="736" ht="15.75" customHeight="1">
      <c r="F736" s="36"/>
      <c r="G736" s="36"/>
      <c r="I736" s="36"/>
      <c r="J736" s="36"/>
      <c r="K736" s="36"/>
    </row>
    <row r="737" ht="15.75" customHeight="1">
      <c r="F737" s="36"/>
      <c r="G737" s="36"/>
      <c r="I737" s="36"/>
      <c r="J737" s="36"/>
      <c r="K737" s="36"/>
    </row>
    <row r="738" ht="15.75" customHeight="1">
      <c r="F738" s="36"/>
      <c r="G738" s="36"/>
      <c r="I738" s="36"/>
      <c r="J738" s="36"/>
      <c r="K738" s="36"/>
    </row>
    <row r="739" ht="15.75" customHeight="1">
      <c r="F739" s="36"/>
      <c r="G739" s="36"/>
      <c r="I739" s="36"/>
      <c r="J739" s="36"/>
      <c r="K739" s="36"/>
    </row>
    <row r="740" ht="15.75" customHeight="1">
      <c r="F740" s="36"/>
      <c r="G740" s="36"/>
      <c r="I740" s="36"/>
      <c r="J740" s="36"/>
      <c r="K740" s="36"/>
    </row>
    <row r="741" ht="15.75" customHeight="1">
      <c r="F741" s="36"/>
      <c r="G741" s="36"/>
      <c r="I741" s="36"/>
      <c r="J741" s="36"/>
      <c r="K741" s="36"/>
    </row>
    <row r="742" ht="15.75" customHeight="1">
      <c r="F742" s="36"/>
      <c r="G742" s="36"/>
      <c r="I742" s="36"/>
      <c r="J742" s="36"/>
      <c r="K742" s="36"/>
    </row>
    <row r="743" ht="15.75" customHeight="1">
      <c r="F743" s="36"/>
      <c r="G743" s="36"/>
      <c r="I743" s="36"/>
      <c r="J743" s="36"/>
      <c r="K743" s="36"/>
    </row>
    <row r="744" ht="15.75" customHeight="1">
      <c r="F744" s="36"/>
      <c r="G744" s="36"/>
      <c r="I744" s="36"/>
      <c r="J744" s="36"/>
      <c r="K744" s="36"/>
    </row>
    <row r="745" ht="15.75" customHeight="1">
      <c r="F745" s="36"/>
      <c r="G745" s="36"/>
      <c r="I745" s="36"/>
      <c r="J745" s="36"/>
      <c r="K745" s="36"/>
    </row>
    <row r="746" ht="15.75" customHeight="1">
      <c r="F746" s="36"/>
      <c r="G746" s="36"/>
      <c r="I746" s="36"/>
      <c r="J746" s="36"/>
      <c r="K746" s="36"/>
    </row>
    <row r="747" ht="15.75" customHeight="1">
      <c r="F747" s="36"/>
      <c r="G747" s="36"/>
      <c r="I747" s="36"/>
      <c r="J747" s="36"/>
      <c r="K747" s="36"/>
    </row>
    <row r="748" ht="15.75" customHeight="1">
      <c r="F748" s="36"/>
      <c r="G748" s="36"/>
      <c r="I748" s="36"/>
      <c r="J748" s="36"/>
      <c r="K748" s="36"/>
    </row>
    <row r="749" ht="15.75" customHeight="1">
      <c r="F749" s="36"/>
      <c r="G749" s="36"/>
      <c r="I749" s="36"/>
      <c r="J749" s="36"/>
      <c r="K749" s="36"/>
    </row>
    <row r="750" ht="15.75" customHeight="1">
      <c r="F750" s="36"/>
      <c r="G750" s="36"/>
      <c r="I750" s="36"/>
      <c r="J750" s="36"/>
      <c r="K750" s="36"/>
    </row>
    <row r="751" ht="15.75" customHeight="1">
      <c r="F751" s="36"/>
      <c r="G751" s="36"/>
      <c r="I751" s="36"/>
      <c r="J751" s="36"/>
      <c r="K751" s="36"/>
    </row>
    <row r="752" ht="15.75" customHeight="1">
      <c r="F752" s="36"/>
      <c r="G752" s="36"/>
      <c r="I752" s="36"/>
      <c r="J752" s="36"/>
      <c r="K752" s="36"/>
    </row>
    <row r="753" ht="15.75" customHeight="1">
      <c r="F753" s="36"/>
      <c r="G753" s="36"/>
      <c r="I753" s="36"/>
      <c r="J753" s="36"/>
      <c r="K753" s="36"/>
    </row>
    <row r="754" ht="15.75" customHeight="1">
      <c r="F754" s="36"/>
      <c r="G754" s="36"/>
      <c r="I754" s="36"/>
      <c r="J754" s="36"/>
      <c r="K754" s="36"/>
    </row>
    <row r="755" ht="15.75" customHeight="1">
      <c r="F755" s="36"/>
      <c r="G755" s="36"/>
      <c r="I755" s="36"/>
      <c r="J755" s="36"/>
      <c r="K755" s="36"/>
    </row>
    <row r="756" ht="15.75" customHeight="1">
      <c r="F756" s="36"/>
      <c r="G756" s="36"/>
      <c r="I756" s="36"/>
      <c r="J756" s="36"/>
      <c r="K756" s="36"/>
    </row>
    <row r="757" ht="15.75" customHeight="1">
      <c r="F757" s="36"/>
      <c r="G757" s="36"/>
      <c r="I757" s="36"/>
      <c r="J757" s="36"/>
      <c r="K757" s="36"/>
    </row>
    <row r="758" ht="15.75" customHeight="1">
      <c r="F758" s="36"/>
      <c r="G758" s="36"/>
      <c r="I758" s="36"/>
      <c r="J758" s="36"/>
      <c r="K758" s="36"/>
    </row>
    <row r="759" ht="15.75" customHeight="1">
      <c r="F759" s="36"/>
      <c r="G759" s="36"/>
      <c r="I759" s="36"/>
      <c r="J759" s="36"/>
      <c r="K759" s="36"/>
    </row>
    <row r="760" ht="15.75" customHeight="1">
      <c r="F760" s="36"/>
      <c r="G760" s="36"/>
      <c r="I760" s="36"/>
      <c r="J760" s="36"/>
      <c r="K760" s="36"/>
    </row>
    <row r="761" ht="15.75" customHeight="1">
      <c r="F761" s="36"/>
      <c r="G761" s="36"/>
      <c r="I761" s="36"/>
      <c r="J761" s="36"/>
      <c r="K761" s="36"/>
    </row>
    <row r="762" ht="15.75" customHeight="1">
      <c r="F762" s="36"/>
      <c r="G762" s="36"/>
      <c r="I762" s="36"/>
      <c r="J762" s="36"/>
      <c r="K762" s="36"/>
    </row>
    <row r="763" ht="15.75" customHeight="1">
      <c r="F763" s="36"/>
      <c r="G763" s="36"/>
      <c r="I763" s="36"/>
      <c r="J763" s="36"/>
      <c r="K763" s="36"/>
    </row>
    <row r="764" ht="15.75" customHeight="1">
      <c r="F764" s="36"/>
      <c r="G764" s="36"/>
      <c r="I764" s="36"/>
      <c r="J764" s="36"/>
      <c r="K764" s="36"/>
    </row>
    <row r="765" ht="15.75" customHeight="1">
      <c r="F765" s="36"/>
      <c r="G765" s="36"/>
      <c r="I765" s="36"/>
      <c r="J765" s="36"/>
      <c r="K765" s="36"/>
    </row>
    <row r="766" ht="15.75" customHeight="1">
      <c r="F766" s="36"/>
      <c r="G766" s="36"/>
      <c r="I766" s="36"/>
      <c r="J766" s="36"/>
      <c r="K766" s="36"/>
    </row>
    <row r="767" ht="15.75" customHeight="1">
      <c r="F767" s="36"/>
      <c r="G767" s="36"/>
      <c r="I767" s="36"/>
      <c r="J767" s="36"/>
      <c r="K767" s="36"/>
    </row>
    <row r="768" ht="15.75" customHeight="1">
      <c r="F768" s="36"/>
      <c r="G768" s="36"/>
      <c r="I768" s="36"/>
      <c r="J768" s="36"/>
      <c r="K768" s="36"/>
    </row>
    <row r="769" ht="15.75" customHeight="1">
      <c r="F769" s="36"/>
      <c r="G769" s="36"/>
      <c r="I769" s="36"/>
      <c r="J769" s="36"/>
      <c r="K769" s="36"/>
    </row>
    <row r="770" ht="15.75" customHeight="1">
      <c r="F770" s="36"/>
      <c r="G770" s="36"/>
      <c r="I770" s="36"/>
      <c r="J770" s="36"/>
      <c r="K770" s="36"/>
    </row>
    <row r="771" ht="15.75" customHeight="1">
      <c r="F771" s="36"/>
      <c r="G771" s="36"/>
      <c r="I771" s="36"/>
      <c r="J771" s="36"/>
      <c r="K771" s="36"/>
    </row>
    <row r="772" ht="15.75" customHeight="1">
      <c r="F772" s="36"/>
      <c r="G772" s="36"/>
      <c r="I772" s="36"/>
      <c r="J772" s="36"/>
      <c r="K772" s="36"/>
    </row>
    <row r="773" ht="15.75" customHeight="1">
      <c r="F773" s="36"/>
      <c r="G773" s="36"/>
      <c r="I773" s="36"/>
      <c r="J773" s="36"/>
      <c r="K773" s="36"/>
    </row>
    <row r="774" ht="15.75" customHeight="1">
      <c r="F774" s="36"/>
      <c r="G774" s="36"/>
      <c r="I774" s="36"/>
      <c r="J774" s="36"/>
      <c r="K774" s="36"/>
    </row>
    <row r="775" ht="15.75" customHeight="1">
      <c r="F775" s="36"/>
      <c r="G775" s="36"/>
      <c r="I775" s="36"/>
      <c r="J775" s="36"/>
      <c r="K775" s="36"/>
    </row>
    <row r="776" ht="15.75" customHeight="1">
      <c r="F776" s="36"/>
      <c r="G776" s="36"/>
      <c r="I776" s="36"/>
      <c r="J776" s="36"/>
      <c r="K776" s="36"/>
    </row>
    <row r="777" ht="15.75" customHeight="1">
      <c r="F777" s="36"/>
      <c r="G777" s="36"/>
      <c r="I777" s="36"/>
      <c r="J777" s="36"/>
      <c r="K777" s="36"/>
    </row>
    <row r="778" ht="15.75" customHeight="1">
      <c r="F778" s="36"/>
      <c r="G778" s="36"/>
      <c r="I778" s="36"/>
      <c r="J778" s="36"/>
      <c r="K778" s="36"/>
    </row>
    <row r="779" ht="15.75" customHeight="1">
      <c r="F779" s="36"/>
      <c r="G779" s="36"/>
      <c r="I779" s="36"/>
      <c r="J779" s="36"/>
      <c r="K779" s="36"/>
    </row>
    <row r="780" ht="15.75" customHeight="1">
      <c r="F780" s="36"/>
      <c r="G780" s="36"/>
      <c r="I780" s="36"/>
      <c r="J780" s="36"/>
      <c r="K780" s="36"/>
    </row>
    <row r="781" ht="15.75" customHeight="1">
      <c r="F781" s="36"/>
      <c r="G781" s="36"/>
      <c r="I781" s="36"/>
      <c r="J781" s="36"/>
      <c r="K781" s="36"/>
    </row>
    <row r="782" ht="15.75" customHeight="1">
      <c r="F782" s="36"/>
      <c r="G782" s="36"/>
      <c r="I782" s="36"/>
      <c r="J782" s="36"/>
      <c r="K782" s="36"/>
    </row>
    <row r="783" ht="15.75" customHeight="1">
      <c r="F783" s="36"/>
      <c r="G783" s="36"/>
      <c r="I783" s="36"/>
      <c r="J783" s="36"/>
      <c r="K783" s="36"/>
    </row>
    <row r="784" ht="15.75" customHeight="1">
      <c r="F784" s="36"/>
      <c r="G784" s="36"/>
      <c r="I784" s="36"/>
      <c r="J784" s="36"/>
      <c r="K784" s="36"/>
    </row>
    <row r="785" ht="15.75" customHeight="1">
      <c r="F785" s="36"/>
      <c r="G785" s="36"/>
      <c r="I785" s="36"/>
      <c r="J785" s="36"/>
      <c r="K785" s="36"/>
    </row>
    <row r="786" ht="15.75" customHeight="1">
      <c r="F786" s="36"/>
      <c r="G786" s="36"/>
      <c r="I786" s="36"/>
      <c r="J786" s="36"/>
      <c r="K786" s="36"/>
    </row>
    <row r="787" ht="15.75" customHeight="1">
      <c r="F787" s="36"/>
      <c r="G787" s="36"/>
      <c r="I787" s="36"/>
      <c r="J787" s="36"/>
      <c r="K787" s="36"/>
    </row>
    <row r="788" ht="15.75" customHeight="1">
      <c r="F788" s="36"/>
      <c r="G788" s="36"/>
      <c r="I788" s="36"/>
      <c r="J788" s="36"/>
      <c r="K788" s="36"/>
    </row>
    <row r="789" ht="15.75" customHeight="1">
      <c r="F789" s="36"/>
      <c r="G789" s="36"/>
      <c r="I789" s="36"/>
      <c r="J789" s="36"/>
      <c r="K789" s="36"/>
    </row>
    <row r="790" ht="15.75" customHeight="1">
      <c r="F790" s="36"/>
      <c r="G790" s="36"/>
      <c r="I790" s="36"/>
      <c r="J790" s="36"/>
      <c r="K790" s="36"/>
    </row>
    <row r="791" ht="15.75" customHeight="1">
      <c r="F791" s="36"/>
      <c r="G791" s="36"/>
      <c r="I791" s="36"/>
      <c r="J791" s="36"/>
      <c r="K791" s="36"/>
    </row>
    <row r="792" ht="15.75" customHeight="1">
      <c r="F792" s="36"/>
      <c r="G792" s="36"/>
      <c r="I792" s="36"/>
      <c r="J792" s="36"/>
      <c r="K792" s="36"/>
    </row>
    <row r="793" ht="15.75" customHeight="1">
      <c r="F793" s="36"/>
      <c r="G793" s="36"/>
      <c r="I793" s="36"/>
      <c r="J793" s="36"/>
      <c r="K793" s="36"/>
    </row>
    <row r="794" ht="15.75" customHeight="1">
      <c r="F794" s="36"/>
      <c r="G794" s="36"/>
      <c r="I794" s="36"/>
      <c r="J794" s="36"/>
      <c r="K794" s="36"/>
    </row>
    <row r="795" ht="15.75" customHeight="1">
      <c r="F795" s="36"/>
      <c r="G795" s="36"/>
      <c r="I795" s="36"/>
      <c r="J795" s="36"/>
      <c r="K795" s="36"/>
    </row>
    <row r="796" ht="15.75" customHeight="1">
      <c r="F796" s="36"/>
      <c r="G796" s="36"/>
      <c r="I796" s="36"/>
      <c r="J796" s="36"/>
      <c r="K796" s="36"/>
    </row>
    <row r="797" ht="15.75" customHeight="1">
      <c r="F797" s="36"/>
      <c r="G797" s="36"/>
      <c r="I797" s="36"/>
      <c r="J797" s="36"/>
      <c r="K797" s="36"/>
    </row>
    <row r="798" ht="15.75" customHeight="1">
      <c r="F798" s="36"/>
      <c r="G798" s="36"/>
      <c r="I798" s="36"/>
      <c r="J798" s="36"/>
      <c r="K798" s="36"/>
    </row>
    <row r="799" ht="15.75" customHeight="1">
      <c r="F799" s="36"/>
      <c r="G799" s="36"/>
      <c r="I799" s="36"/>
      <c r="J799" s="36"/>
      <c r="K799" s="36"/>
    </row>
    <row r="800" ht="15.75" customHeight="1">
      <c r="F800" s="36"/>
      <c r="G800" s="36"/>
      <c r="I800" s="36"/>
      <c r="J800" s="36"/>
      <c r="K800" s="36"/>
    </row>
    <row r="801" ht="15.75" customHeight="1">
      <c r="F801" s="36"/>
      <c r="G801" s="36"/>
      <c r="I801" s="36"/>
      <c r="J801" s="36"/>
      <c r="K801" s="36"/>
    </row>
    <row r="802" ht="15.75" customHeight="1">
      <c r="F802" s="36"/>
      <c r="G802" s="36"/>
      <c r="I802" s="36"/>
      <c r="J802" s="36"/>
      <c r="K802" s="36"/>
    </row>
    <row r="803" ht="15.75" customHeight="1">
      <c r="F803" s="36"/>
      <c r="G803" s="36"/>
      <c r="I803" s="36"/>
      <c r="J803" s="36"/>
      <c r="K803" s="36"/>
    </row>
    <row r="804" ht="15.75" customHeight="1">
      <c r="F804" s="36"/>
      <c r="G804" s="36"/>
      <c r="I804" s="36"/>
      <c r="J804" s="36"/>
      <c r="K804" s="36"/>
    </row>
    <row r="805" ht="15.75" customHeight="1">
      <c r="F805" s="36"/>
      <c r="G805" s="36"/>
      <c r="I805" s="36"/>
      <c r="J805" s="36"/>
      <c r="K805" s="36"/>
    </row>
    <row r="806" ht="15.75" customHeight="1">
      <c r="F806" s="36"/>
      <c r="G806" s="36"/>
      <c r="I806" s="36"/>
      <c r="J806" s="36"/>
      <c r="K806" s="36"/>
    </row>
    <row r="807" ht="15.75" customHeight="1">
      <c r="F807" s="36"/>
      <c r="G807" s="36"/>
      <c r="I807" s="36"/>
      <c r="J807" s="36"/>
      <c r="K807" s="36"/>
    </row>
    <row r="808" ht="15.75" customHeight="1">
      <c r="F808" s="36"/>
      <c r="G808" s="36"/>
      <c r="I808" s="36"/>
      <c r="J808" s="36"/>
      <c r="K808" s="36"/>
    </row>
    <row r="809" ht="15.75" customHeight="1">
      <c r="F809" s="36"/>
      <c r="G809" s="36"/>
      <c r="I809" s="36"/>
      <c r="J809" s="36"/>
      <c r="K809" s="36"/>
    </row>
    <row r="810" ht="15.75" customHeight="1">
      <c r="F810" s="36"/>
      <c r="G810" s="36"/>
      <c r="I810" s="36"/>
      <c r="J810" s="36"/>
      <c r="K810" s="36"/>
    </row>
    <row r="811" ht="15.75" customHeight="1">
      <c r="F811" s="36"/>
      <c r="G811" s="36"/>
      <c r="I811" s="36"/>
      <c r="J811" s="36"/>
      <c r="K811" s="36"/>
    </row>
    <row r="812" ht="15.75" customHeight="1">
      <c r="F812" s="36"/>
      <c r="G812" s="36"/>
      <c r="I812" s="36"/>
      <c r="J812" s="36"/>
      <c r="K812" s="36"/>
    </row>
    <row r="813" ht="15.75" customHeight="1">
      <c r="F813" s="36"/>
      <c r="G813" s="36"/>
      <c r="I813" s="36"/>
      <c r="J813" s="36"/>
      <c r="K813" s="36"/>
    </row>
    <row r="814" ht="15.75" customHeight="1">
      <c r="F814" s="36"/>
      <c r="G814" s="36"/>
      <c r="I814" s="36"/>
      <c r="J814" s="36"/>
      <c r="K814" s="36"/>
    </row>
    <row r="815" ht="15.75" customHeight="1">
      <c r="F815" s="36"/>
      <c r="G815" s="36"/>
      <c r="I815" s="36"/>
      <c r="J815" s="36"/>
      <c r="K815" s="36"/>
    </row>
    <row r="816" ht="15.75" customHeight="1">
      <c r="F816" s="36"/>
      <c r="G816" s="36"/>
      <c r="I816" s="36"/>
      <c r="J816" s="36"/>
      <c r="K816" s="36"/>
    </row>
    <row r="817" ht="15.75" customHeight="1">
      <c r="F817" s="36"/>
      <c r="G817" s="36"/>
      <c r="I817" s="36"/>
      <c r="J817" s="36"/>
      <c r="K817" s="36"/>
    </row>
    <row r="818" ht="15.75" customHeight="1">
      <c r="F818" s="36"/>
      <c r="G818" s="36"/>
      <c r="I818" s="36"/>
      <c r="J818" s="36"/>
      <c r="K818" s="36"/>
    </row>
    <row r="819" ht="15.75" customHeight="1">
      <c r="F819" s="36"/>
      <c r="G819" s="36"/>
      <c r="I819" s="36"/>
      <c r="J819" s="36"/>
      <c r="K819" s="36"/>
    </row>
    <row r="820" ht="15.75" customHeight="1">
      <c r="F820" s="36"/>
      <c r="G820" s="36"/>
      <c r="I820" s="36"/>
      <c r="J820" s="36"/>
      <c r="K820" s="36"/>
    </row>
    <row r="821" ht="15.75" customHeight="1">
      <c r="F821" s="36"/>
      <c r="G821" s="36"/>
      <c r="I821" s="36"/>
      <c r="J821" s="36"/>
      <c r="K821" s="36"/>
    </row>
    <row r="822" ht="15.75" customHeight="1">
      <c r="F822" s="36"/>
      <c r="G822" s="36"/>
      <c r="I822" s="36"/>
      <c r="J822" s="36"/>
      <c r="K822" s="36"/>
    </row>
    <row r="823" ht="15.75" customHeight="1">
      <c r="F823" s="36"/>
      <c r="G823" s="36"/>
      <c r="I823" s="36"/>
      <c r="J823" s="36"/>
      <c r="K823" s="36"/>
    </row>
    <row r="824" ht="15.75" customHeight="1">
      <c r="F824" s="36"/>
      <c r="G824" s="36"/>
      <c r="I824" s="36"/>
      <c r="J824" s="36"/>
      <c r="K824" s="36"/>
    </row>
    <row r="825" ht="15.75" customHeight="1">
      <c r="F825" s="36"/>
      <c r="G825" s="36"/>
      <c r="I825" s="36"/>
      <c r="J825" s="36"/>
      <c r="K825" s="36"/>
    </row>
    <row r="826" ht="15.75" customHeight="1">
      <c r="F826" s="36"/>
      <c r="G826" s="36"/>
      <c r="I826" s="36"/>
      <c r="J826" s="36"/>
      <c r="K826" s="36"/>
    </row>
    <row r="827" ht="15.75" customHeight="1">
      <c r="F827" s="36"/>
      <c r="G827" s="36"/>
      <c r="I827" s="36"/>
      <c r="J827" s="36"/>
      <c r="K827" s="36"/>
    </row>
    <row r="828" ht="15.75" customHeight="1">
      <c r="F828" s="36"/>
      <c r="G828" s="36"/>
      <c r="I828" s="36"/>
      <c r="J828" s="36"/>
      <c r="K828" s="36"/>
    </row>
    <row r="829" ht="15.75" customHeight="1">
      <c r="F829" s="36"/>
      <c r="G829" s="36"/>
      <c r="I829" s="36"/>
      <c r="J829" s="36"/>
      <c r="K829" s="36"/>
    </row>
    <row r="830" ht="15.75" customHeight="1">
      <c r="F830" s="36"/>
      <c r="G830" s="36"/>
      <c r="I830" s="36"/>
      <c r="J830" s="36"/>
      <c r="K830" s="36"/>
    </row>
    <row r="831" ht="15.75" customHeight="1">
      <c r="F831" s="36"/>
      <c r="G831" s="36"/>
      <c r="I831" s="36"/>
      <c r="J831" s="36"/>
      <c r="K831" s="36"/>
    </row>
    <row r="832" ht="15.75" customHeight="1">
      <c r="F832" s="36"/>
      <c r="G832" s="36"/>
      <c r="I832" s="36"/>
      <c r="J832" s="36"/>
      <c r="K832" s="36"/>
    </row>
    <row r="833" ht="15.75" customHeight="1">
      <c r="F833" s="36"/>
      <c r="G833" s="36"/>
      <c r="I833" s="36"/>
      <c r="J833" s="36"/>
      <c r="K833" s="36"/>
    </row>
    <row r="834" ht="15.75" customHeight="1">
      <c r="F834" s="36"/>
      <c r="G834" s="36"/>
      <c r="I834" s="36"/>
      <c r="J834" s="36"/>
      <c r="K834" s="36"/>
    </row>
    <row r="835" ht="15.75" customHeight="1">
      <c r="F835" s="36"/>
      <c r="G835" s="36"/>
      <c r="I835" s="36"/>
      <c r="J835" s="36"/>
      <c r="K835" s="36"/>
    </row>
    <row r="836" ht="15.75" customHeight="1">
      <c r="F836" s="36"/>
      <c r="G836" s="36"/>
      <c r="I836" s="36"/>
      <c r="J836" s="36"/>
      <c r="K836" s="36"/>
    </row>
    <row r="837" ht="15.75" customHeight="1">
      <c r="F837" s="36"/>
      <c r="G837" s="36"/>
      <c r="I837" s="36"/>
      <c r="J837" s="36"/>
      <c r="K837" s="36"/>
    </row>
    <row r="838" ht="15.75" customHeight="1">
      <c r="F838" s="36"/>
      <c r="G838" s="36"/>
      <c r="I838" s="36"/>
      <c r="J838" s="36"/>
      <c r="K838" s="36"/>
    </row>
    <row r="839" ht="15.75" customHeight="1">
      <c r="F839" s="36"/>
      <c r="G839" s="36"/>
      <c r="I839" s="36"/>
      <c r="J839" s="36"/>
      <c r="K839" s="36"/>
    </row>
    <row r="840" ht="15.75" customHeight="1">
      <c r="F840" s="36"/>
      <c r="G840" s="36"/>
      <c r="I840" s="36"/>
      <c r="J840" s="36"/>
      <c r="K840" s="36"/>
    </row>
    <row r="841" ht="15.75" customHeight="1">
      <c r="F841" s="36"/>
      <c r="G841" s="36"/>
      <c r="I841" s="36"/>
      <c r="J841" s="36"/>
      <c r="K841" s="36"/>
    </row>
    <row r="842" ht="15.75" customHeight="1">
      <c r="F842" s="36"/>
      <c r="G842" s="36"/>
      <c r="I842" s="36"/>
      <c r="J842" s="36"/>
      <c r="K842" s="36"/>
    </row>
    <row r="843" ht="15.75" customHeight="1">
      <c r="F843" s="36"/>
      <c r="G843" s="36"/>
      <c r="I843" s="36"/>
      <c r="J843" s="36"/>
      <c r="K843" s="36"/>
    </row>
    <row r="844" ht="15.75" customHeight="1">
      <c r="F844" s="36"/>
      <c r="G844" s="36"/>
      <c r="I844" s="36"/>
      <c r="J844" s="36"/>
      <c r="K844" s="36"/>
    </row>
    <row r="845" ht="15.75" customHeight="1">
      <c r="F845" s="36"/>
      <c r="G845" s="36"/>
      <c r="I845" s="36"/>
      <c r="J845" s="36"/>
      <c r="K845" s="36"/>
    </row>
    <row r="846" ht="15.75" customHeight="1">
      <c r="F846" s="36"/>
      <c r="G846" s="36"/>
      <c r="I846" s="36"/>
      <c r="J846" s="36"/>
      <c r="K846" s="36"/>
    </row>
    <row r="847" ht="15.75" customHeight="1">
      <c r="F847" s="36"/>
      <c r="G847" s="36"/>
      <c r="I847" s="36"/>
      <c r="J847" s="36"/>
      <c r="K847" s="36"/>
    </row>
    <row r="848" ht="15.75" customHeight="1">
      <c r="F848" s="36"/>
      <c r="G848" s="36"/>
      <c r="I848" s="36"/>
      <c r="J848" s="36"/>
      <c r="K848" s="36"/>
    </row>
    <row r="849" ht="15.75" customHeight="1">
      <c r="F849" s="36"/>
      <c r="G849" s="36"/>
      <c r="I849" s="36"/>
      <c r="J849" s="36"/>
      <c r="K849" s="36"/>
    </row>
    <row r="850" ht="15.75" customHeight="1">
      <c r="F850" s="36"/>
      <c r="G850" s="36"/>
      <c r="I850" s="36"/>
      <c r="J850" s="36"/>
      <c r="K850" s="36"/>
    </row>
    <row r="851" ht="15.75" customHeight="1">
      <c r="F851" s="36"/>
      <c r="G851" s="36"/>
      <c r="I851" s="36"/>
      <c r="J851" s="36"/>
      <c r="K851" s="36"/>
    </row>
    <row r="852" ht="15.75" customHeight="1">
      <c r="F852" s="36"/>
      <c r="G852" s="36"/>
      <c r="I852" s="36"/>
      <c r="J852" s="36"/>
      <c r="K852" s="36"/>
    </row>
    <row r="853" ht="15.75" customHeight="1">
      <c r="F853" s="36"/>
      <c r="G853" s="36"/>
      <c r="I853" s="36"/>
      <c r="J853" s="36"/>
      <c r="K853" s="36"/>
    </row>
    <row r="854" ht="15.75" customHeight="1">
      <c r="F854" s="36"/>
      <c r="G854" s="36"/>
      <c r="I854" s="36"/>
      <c r="J854" s="36"/>
      <c r="K854" s="36"/>
    </row>
    <row r="855" ht="15.75" customHeight="1">
      <c r="F855" s="36"/>
      <c r="G855" s="36"/>
      <c r="I855" s="36"/>
      <c r="J855" s="36"/>
      <c r="K855" s="36"/>
    </row>
    <row r="856" ht="15.75" customHeight="1">
      <c r="F856" s="36"/>
      <c r="G856" s="36"/>
      <c r="I856" s="36"/>
      <c r="J856" s="36"/>
      <c r="K856" s="36"/>
    </row>
    <row r="857" ht="15.75" customHeight="1">
      <c r="F857" s="36"/>
      <c r="G857" s="36"/>
      <c r="I857" s="36"/>
      <c r="J857" s="36"/>
      <c r="K857" s="36"/>
    </row>
    <row r="858" ht="15.75" customHeight="1">
      <c r="F858" s="36"/>
      <c r="G858" s="36"/>
      <c r="I858" s="36"/>
      <c r="J858" s="36"/>
      <c r="K858" s="36"/>
    </row>
    <row r="859" ht="15.75" customHeight="1">
      <c r="F859" s="36"/>
      <c r="G859" s="36"/>
      <c r="I859" s="36"/>
      <c r="J859" s="36"/>
      <c r="K859" s="36"/>
    </row>
    <row r="860" ht="15.75" customHeight="1">
      <c r="F860" s="36"/>
      <c r="G860" s="36"/>
      <c r="I860" s="36"/>
      <c r="J860" s="36"/>
      <c r="K860" s="36"/>
    </row>
    <row r="861" ht="15.75" customHeight="1">
      <c r="F861" s="36"/>
      <c r="G861" s="36"/>
      <c r="I861" s="36"/>
      <c r="J861" s="36"/>
      <c r="K861" s="36"/>
    </row>
    <row r="862" ht="15.75" customHeight="1">
      <c r="F862" s="36"/>
      <c r="G862" s="36"/>
      <c r="I862" s="36"/>
      <c r="J862" s="36"/>
      <c r="K862" s="36"/>
    </row>
    <row r="863" ht="15.75" customHeight="1">
      <c r="F863" s="36"/>
      <c r="G863" s="36"/>
      <c r="I863" s="36"/>
      <c r="J863" s="36"/>
      <c r="K863" s="36"/>
    </row>
    <row r="864" ht="15.75" customHeight="1">
      <c r="F864" s="36"/>
      <c r="G864" s="36"/>
      <c r="I864" s="36"/>
      <c r="J864" s="36"/>
      <c r="K864" s="36"/>
    </row>
    <row r="865" ht="15.75" customHeight="1">
      <c r="F865" s="36"/>
      <c r="G865" s="36"/>
      <c r="I865" s="36"/>
      <c r="J865" s="36"/>
      <c r="K865" s="36"/>
    </row>
    <row r="866" ht="15.75" customHeight="1">
      <c r="F866" s="36"/>
      <c r="G866" s="36"/>
      <c r="I866" s="36"/>
      <c r="J866" s="36"/>
      <c r="K866" s="36"/>
    </row>
    <row r="867" ht="15.75" customHeight="1">
      <c r="F867" s="36"/>
      <c r="G867" s="36"/>
      <c r="I867" s="36"/>
      <c r="J867" s="36"/>
      <c r="K867" s="36"/>
    </row>
    <row r="868" ht="15.75" customHeight="1">
      <c r="F868" s="36"/>
      <c r="G868" s="36"/>
      <c r="I868" s="36"/>
      <c r="J868" s="36"/>
      <c r="K868" s="36"/>
    </row>
    <row r="869" ht="15.75" customHeight="1">
      <c r="F869" s="36"/>
      <c r="G869" s="36"/>
      <c r="I869" s="36"/>
      <c r="J869" s="36"/>
      <c r="K869" s="36"/>
    </row>
    <row r="870" ht="15.75" customHeight="1">
      <c r="F870" s="36"/>
      <c r="G870" s="36"/>
      <c r="I870" s="36"/>
      <c r="J870" s="36"/>
      <c r="K870" s="36"/>
    </row>
    <row r="871" ht="15.75" customHeight="1">
      <c r="F871" s="36"/>
      <c r="G871" s="36"/>
      <c r="I871" s="36"/>
      <c r="J871" s="36"/>
      <c r="K871" s="36"/>
    </row>
    <row r="872" ht="15.75" customHeight="1">
      <c r="F872" s="36"/>
      <c r="G872" s="36"/>
      <c r="I872" s="36"/>
      <c r="J872" s="36"/>
      <c r="K872" s="36"/>
    </row>
    <row r="873" ht="15.75" customHeight="1">
      <c r="F873" s="36"/>
      <c r="G873" s="36"/>
      <c r="I873" s="36"/>
      <c r="J873" s="36"/>
      <c r="K873" s="36"/>
    </row>
    <row r="874" ht="15.75" customHeight="1">
      <c r="F874" s="36"/>
      <c r="G874" s="36"/>
      <c r="I874" s="36"/>
      <c r="J874" s="36"/>
      <c r="K874" s="36"/>
    </row>
    <row r="875" ht="15.75" customHeight="1">
      <c r="F875" s="36"/>
      <c r="G875" s="36"/>
      <c r="I875" s="36"/>
      <c r="J875" s="36"/>
      <c r="K875" s="36"/>
    </row>
    <row r="876" ht="15.75" customHeight="1">
      <c r="F876" s="36"/>
      <c r="G876" s="36"/>
      <c r="I876" s="36"/>
      <c r="J876" s="36"/>
      <c r="K876" s="36"/>
    </row>
    <row r="877" ht="15.75" customHeight="1">
      <c r="F877" s="36"/>
      <c r="G877" s="36"/>
      <c r="I877" s="36"/>
      <c r="J877" s="36"/>
      <c r="K877" s="36"/>
    </row>
    <row r="878" ht="15.75" customHeight="1">
      <c r="F878" s="36"/>
      <c r="G878" s="36"/>
      <c r="I878" s="36"/>
      <c r="J878" s="36"/>
      <c r="K878" s="36"/>
    </row>
    <row r="879" ht="15.75" customHeight="1">
      <c r="F879" s="36"/>
      <c r="G879" s="36"/>
      <c r="I879" s="36"/>
      <c r="J879" s="36"/>
      <c r="K879" s="36"/>
    </row>
    <row r="880" ht="15.75" customHeight="1">
      <c r="F880" s="36"/>
      <c r="G880" s="36"/>
      <c r="I880" s="36"/>
      <c r="J880" s="36"/>
      <c r="K880" s="36"/>
    </row>
    <row r="881" ht="15.75" customHeight="1">
      <c r="F881" s="36"/>
      <c r="G881" s="36"/>
      <c r="I881" s="36"/>
      <c r="J881" s="36"/>
      <c r="K881" s="36"/>
    </row>
    <row r="882" ht="15.75" customHeight="1">
      <c r="F882" s="36"/>
      <c r="G882" s="36"/>
      <c r="I882" s="36"/>
      <c r="J882" s="36"/>
      <c r="K882" s="36"/>
    </row>
    <row r="883" ht="15.75" customHeight="1">
      <c r="F883" s="36"/>
      <c r="G883" s="36"/>
      <c r="I883" s="36"/>
      <c r="J883" s="36"/>
      <c r="K883" s="36"/>
    </row>
    <row r="884" ht="15.75" customHeight="1">
      <c r="F884" s="36"/>
      <c r="G884" s="36"/>
      <c r="I884" s="36"/>
      <c r="J884" s="36"/>
      <c r="K884" s="36"/>
    </row>
    <row r="885" ht="15.75" customHeight="1">
      <c r="F885" s="36"/>
      <c r="G885" s="36"/>
      <c r="I885" s="36"/>
      <c r="J885" s="36"/>
      <c r="K885" s="36"/>
    </row>
    <row r="886" ht="15.75" customHeight="1">
      <c r="F886" s="36"/>
      <c r="G886" s="36"/>
      <c r="I886" s="36"/>
      <c r="J886" s="36"/>
      <c r="K886" s="36"/>
    </row>
    <row r="887" ht="15.75" customHeight="1">
      <c r="F887" s="36"/>
      <c r="G887" s="36"/>
      <c r="I887" s="36"/>
      <c r="J887" s="36"/>
      <c r="K887" s="36"/>
    </row>
    <row r="888" ht="15.75" customHeight="1">
      <c r="F888" s="36"/>
      <c r="G888" s="36"/>
      <c r="I888" s="36"/>
      <c r="J888" s="36"/>
      <c r="K888" s="36"/>
    </row>
    <row r="889" ht="15.75" customHeight="1">
      <c r="F889" s="36"/>
      <c r="G889" s="36"/>
      <c r="I889" s="36"/>
      <c r="J889" s="36"/>
      <c r="K889" s="36"/>
    </row>
    <row r="890" ht="15.75" customHeight="1">
      <c r="F890" s="36"/>
      <c r="G890" s="36"/>
      <c r="I890" s="36"/>
      <c r="J890" s="36"/>
      <c r="K890" s="36"/>
    </row>
    <row r="891" ht="15.75" customHeight="1">
      <c r="F891" s="36"/>
      <c r="G891" s="36"/>
      <c r="I891" s="36"/>
      <c r="J891" s="36"/>
      <c r="K891" s="36"/>
    </row>
    <row r="892" ht="15.75" customHeight="1">
      <c r="F892" s="36"/>
      <c r="G892" s="36"/>
      <c r="I892" s="36"/>
      <c r="J892" s="36"/>
      <c r="K892" s="36"/>
    </row>
    <row r="893" ht="15.75" customHeight="1">
      <c r="F893" s="36"/>
      <c r="G893" s="36"/>
      <c r="I893" s="36"/>
      <c r="J893" s="36"/>
      <c r="K893" s="36"/>
    </row>
    <row r="894" ht="15.75" customHeight="1">
      <c r="F894" s="36"/>
      <c r="G894" s="36"/>
      <c r="I894" s="36"/>
      <c r="J894" s="36"/>
      <c r="K894" s="36"/>
    </row>
    <row r="895" ht="15.75" customHeight="1">
      <c r="F895" s="36"/>
      <c r="G895" s="36"/>
      <c r="I895" s="36"/>
      <c r="J895" s="36"/>
      <c r="K895" s="36"/>
    </row>
    <row r="896" ht="15.75" customHeight="1">
      <c r="F896" s="36"/>
      <c r="G896" s="36"/>
      <c r="I896" s="36"/>
      <c r="J896" s="36"/>
      <c r="K896" s="36"/>
    </row>
    <row r="897" ht="15.75" customHeight="1">
      <c r="F897" s="36"/>
      <c r="G897" s="36"/>
      <c r="I897" s="36"/>
      <c r="J897" s="36"/>
      <c r="K897" s="36"/>
    </row>
    <row r="898" ht="15.75" customHeight="1">
      <c r="F898" s="36"/>
      <c r="G898" s="36"/>
      <c r="I898" s="36"/>
      <c r="J898" s="36"/>
      <c r="K898" s="36"/>
    </row>
    <row r="899" ht="15.75" customHeight="1">
      <c r="F899" s="36"/>
      <c r="G899" s="36"/>
      <c r="I899" s="36"/>
      <c r="J899" s="36"/>
      <c r="K899" s="36"/>
    </row>
    <row r="900" ht="15.75" customHeight="1">
      <c r="F900" s="36"/>
      <c r="G900" s="36"/>
      <c r="I900" s="36"/>
      <c r="J900" s="36"/>
      <c r="K900" s="36"/>
    </row>
    <row r="901" ht="15.75" customHeight="1">
      <c r="F901" s="36"/>
      <c r="G901" s="36"/>
      <c r="I901" s="36"/>
      <c r="J901" s="36"/>
      <c r="K901" s="36"/>
    </row>
    <row r="902" ht="15.75" customHeight="1">
      <c r="F902" s="36"/>
      <c r="G902" s="36"/>
      <c r="I902" s="36"/>
      <c r="J902" s="36"/>
      <c r="K902" s="36"/>
    </row>
    <row r="903" ht="15.75" customHeight="1">
      <c r="F903" s="36"/>
      <c r="G903" s="36"/>
      <c r="I903" s="36"/>
      <c r="J903" s="36"/>
      <c r="K903" s="36"/>
    </row>
    <row r="904" ht="15.75" customHeight="1">
      <c r="F904" s="36"/>
      <c r="G904" s="36"/>
      <c r="I904" s="36"/>
      <c r="J904" s="36"/>
      <c r="K904" s="36"/>
    </row>
    <row r="905" ht="15.75" customHeight="1">
      <c r="F905" s="36"/>
      <c r="G905" s="36"/>
      <c r="I905" s="36"/>
      <c r="J905" s="36"/>
      <c r="K905" s="36"/>
    </row>
    <row r="906" ht="15.75" customHeight="1">
      <c r="F906" s="36"/>
      <c r="G906" s="36"/>
      <c r="I906" s="36"/>
      <c r="J906" s="36"/>
      <c r="K906" s="36"/>
    </row>
    <row r="907" ht="15.75" customHeight="1">
      <c r="F907" s="36"/>
      <c r="G907" s="36"/>
      <c r="I907" s="36"/>
      <c r="J907" s="36"/>
      <c r="K907" s="36"/>
    </row>
    <row r="908" ht="15.75" customHeight="1">
      <c r="F908" s="36"/>
      <c r="G908" s="36"/>
      <c r="I908" s="36"/>
      <c r="J908" s="36"/>
      <c r="K908" s="36"/>
    </row>
    <row r="909" ht="15.75" customHeight="1">
      <c r="F909" s="36"/>
      <c r="G909" s="36"/>
      <c r="I909" s="36"/>
      <c r="J909" s="36"/>
      <c r="K909" s="36"/>
    </row>
    <row r="910" ht="15.75" customHeight="1">
      <c r="F910" s="36"/>
      <c r="G910" s="36"/>
      <c r="I910" s="36"/>
      <c r="J910" s="36"/>
      <c r="K910" s="36"/>
    </row>
    <row r="911" ht="15.75" customHeight="1">
      <c r="F911" s="36"/>
      <c r="G911" s="36"/>
      <c r="I911" s="36"/>
      <c r="J911" s="36"/>
      <c r="K911" s="36"/>
    </row>
    <row r="912" ht="15.75" customHeight="1">
      <c r="F912" s="36"/>
      <c r="G912" s="36"/>
      <c r="I912" s="36"/>
      <c r="J912" s="36"/>
      <c r="K912" s="36"/>
    </row>
    <row r="913" ht="15.75" customHeight="1">
      <c r="F913" s="36"/>
      <c r="G913" s="36"/>
      <c r="I913" s="36"/>
      <c r="J913" s="36"/>
      <c r="K913" s="36"/>
    </row>
    <row r="914" ht="15.75" customHeight="1">
      <c r="F914" s="36"/>
      <c r="G914" s="36"/>
      <c r="I914" s="36"/>
      <c r="J914" s="36"/>
      <c r="K914" s="36"/>
    </row>
    <row r="915" ht="15.75" customHeight="1">
      <c r="F915" s="36"/>
      <c r="G915" s="36"/>
      <c r="I915" s="36"/>
      <c r="J915" s="36"/>
      <c r="K915" s="36"/>
    </row>
    <row r="916" ht="15.75" customHeight="1">
      <c r="F916" s="36"/>
      <c r="G916" s="36"/>
      <c r="I916" s="36"/>
      <c r="J916" s="36"/>
      <c r="K916" s="36"/>
    </row>
    <row r="917" ht="15.75" customHeight="1">
      <c r="F917" s="36"/>
      <c r="G917" s="36"/>
      <c r="I917" s="36"/>
      <c r="J917" s="36"/>
      <c r="K917" s="36"/>
    </row>
    <row r="918" ht="15.75" customHeight="1">
      <c r="F918" s="36"/>
      <c r="G918" s="36"/>
      <c r="I918" s="36"/>
      <c r="J918" s="36"/>
      <c r="K918" s="36"/>
    </row>
    <row r="919" ht="15.75" customHeight="1">
      <c r="F919" s="36"/>
      <c r="G919" s="36"/>
      <c r="I919" s="36"/>
      <c r="J919" s="36"/>
      <c r="K919" s="36"/>
    </row>
    <row r="920" ht="15.75" customHeight="1">
      <c r="F920" s="36"/>
      <c r="G920" s="36"/>
      <c r="I920" s="36"/>
      <c r="J920" s="36"/>
      <c r="K920" s="36"/>
    </row>
    <row r="921" ht="15.75" customHeight="1">
      <c r="F921" s="36"/>
      <c r="G921" s="36"/>
      <c r="I921" s="36"/>
      <c r="J921" s="36"/>
      <c r="K921" s="36"/>
    </row>
    <row r="922" ht="15.75" customHeight="1">
      <c r="F922" s="36"/>
      <c r="G922" s="36"/>
      <c r="I922" s="36"/>
      <c r="J922" s="36"/>
      <c r="K922" s="36"/>
    </row>
    <row r="923" ht="15.75" customHeight="1">
      <c r="F923" s="36"/>
      <c r="G923" s="36"/>
      <c r="I923" s="36"/>
      <c r="J923" s="36"/>
      <c r="K923" s="36"/>
    </row>
    <row r="924" ht="15.75" customHeight="1">
      <c r="F924" s="36"/>
      <c r="G924" s="36"/>
      <c r="I924" s="36"/>
      <c r="J924" s="36"/>
      <c r="K924" s="36"/>
    </row>
    <row r="925" ht="15.75" customHeight="1">
      <c r="F925" s="36"/>
      <c r="G925" s="36"/>
      <c r="I925" s="36"/>
      <c r="J925" s="36"/>
      <c r="K925" s="36"/>
    </row>
    <row r="926" ht="15.75" customHeight="1">
      <c r="F926" s="36"/>
      <c r="G926" s="36"/>
      <c r="I926" s="36"/>
      <c r="J926" s="36"/>
      <c r="K926" s="36"/>
    </row>
    <row r="927" ht="15.75" customHeight="1">
      <c r="F927" s="36"/>
      <c r="G927" s="36"/>
      <c r="I927" s="36"/>
      <c r="J927" s="36"/>
      <c r="K927" s="36"/>
    </row>
    <row r="928" ht="15.75" customHeight="1">
      <c r="F928" s="36"/>
      <c r="G928" s="36"/>
      <c r="I928" s="36"/>
      <c r="J928" s="36"/>
      <c r="K928" s="36"/>
    </row>
    <row r="929" ht="15.75" customHeight="1">
      <c r="F929" s="36"/>
      <c r="G929" s="36"/>
      <c r="I929" s="36"/>
      <c r="J929" s="36"/>
      <c r="K929" s="36"/>
    </row>
    <row r="930" ht="15.75" customHeight="1">
      <c r="F930" s="36"/>
      <c r="G930" s="36"/>
      <c r="I930" s="36"/>
      <c r="J930" s="36"/>
      <c r="K930" s="36"/>
    </row>
    <row r="931" ht="15.75" customHeight="1">
      <c r="F931" s="36"/>
      <c r="G931" s="36"/>
      <c r="I931" s="36"/>
      <c r="J931" s="36"/>
      <c r="K931" s="36"/>
    </row>
    <row r="932" ht="15.75" customHeight="1">
      <c r="F932" s="36"/>
      <c r="G932" s="36"/>
      <c r="I932" s="36"/>
      <c r="J932" s="36"/>
      <c r="K932" s="36"/>
    </row>
    <row r="933" ht="15.75" customHeight="1">
      <c r="F933" s="36"/>
      <c r="G933" s="36"/>
      <c r="I933" s="36"/>
      <c r="J933" s="36"/>
      <c r="K933" s="36"/>
    </row>
    <row r="934" ht="15.75" customHeight="1">
      <c r="F934" s="36"/>
      <c r="G934" s="36"/>
      <c r="I934" s="36"/>
      <c r="J934" s="36"/>
      <c r="K934" s="36"/>
    </row>
    <row r="935" ht="15.75" customHeight="1">
      <c r="F935" s="36"/>
      <c r="G935" s="36"/>
      <c r="I935" s="36"/>
      <c r="J935" s="36"/>
      <c r="K935" s="36"/>
    </row>
    <row r="936" ht="15.75" customHeight="1">
      <c r="F936" s="36"/>
      <c r="G936" s="36"/>
      <c r="I936" s="36"/>
      <c r="J936" s="36"/>
      <c r="K936" s="36"/>
    </row>
    <row r="937" ht="15.75" customHeight="1">
      <c r="F937" s="36"/>
      <c r="G937" s="36"/>
      <c r="I937" s="36"/>
      <c r="J937" s="36"/>
      <c r="K937" s="36"/>
    </row>
    <row r="938" ht="15.75" customHeight="1">
      <c r="F938" s="36"/>
      <c r="G938" s="36"/>
      <c r="I938" s="36"/>
      <c r="J938" s="36"/>
      <c r="K938" s="36"/>
    </row>
    <row r="939" ht="15.75" customHeight="1">
      <c r="F939" s="36"/>
      <c r="G939" s="36"/>
      <c r="I939" s="36"/>
      <c r="J939" s="36"/>
      <c r="K939" s="36"/>
    </row>
    <row r="940" ht="15.75" customHeight="1">
      <c r="F940" s="36"/>
      <c r="G940" s="36"/>
      <c r="I940" s="36"/>
      <c r="J940" s="36"/>
      <c r="K940" s="36"/>
    </row>
    <row r="941" ht="15.75" customHeight="1">
      <c r="F941" s="36"/>
      <c r="G941" s="36"/>
      <c r="I941" s="36"/>
      <c r="J941" s="36"/>
      <c r="K941" s="36"/>
    </row>
    <row r="942" ht="15.75" customHeight="1">
      <c r="F942" s="36"/>
      <c r="G942" s="36"/>
      <c r="I942" s="36"/>
      <c r="J942" s="36"/>
      <c r="K942" s="36"/>
    </row>
    <row r="943" ht="15.75" customHeight="1">
      <c r="F943" s="36"/>
      <c r="G943" s="36"/>
      <c r="I943" s="36"/>
      <c r="J943" s="36"/>
      <c r="K943" s="36"/>
    </row>
    <row r="944" ht="15.75" customHeight="1">
      <c r="F944" s="36"/>
      <c r="G944" s="36"/>
      <c r="I944" s="36"/>
      <c r="J944" s="36"/>
      <c r="K944" s="36"/>
    </row>
    <row r="945" ht="15.75" customHeight="1">
      <c r="F945" s="36"/>
      <c r="G945" s="36"/>
      <c r="I945" s="36"/>
      <c r="J945" s="36"/>
      <c r="K945" s="36"/>
    </row>
    <row r="946" ht="15.75" customHeight="1">
      <c r="F946" s="36"/>
      <c r="G946" s="36"/>
      <c r="I946" s="36"/>
      <c r="J946" s="36"/>
      <c r="K946" s="36"/>
    </row>
    <row r="947" ht="15.75" customHeight="1">
      <c r="F947" s="36"/>
      <c r="G947" s="36"/>
      <c r="I947" s="36"/>
      <c r="J947" s="36"/>
      <c r="K947" s="36"/>
    </row>
    <row r="948" ht="15.75" customHeight="1">
      <c r="F948" s="36"/>
      <c r="G948" s="36"/>
      <c r="I948" s="36"/>
      <c r="J948" s="36"/>
      <c r="K948" s="36"/>
    </row>
    <row r="949" ht="15.75" customHeight="1">
      <c r="F949" s="36"/>
      <c r="G949" s="36"/>
      <c r="I949" s="36"/>
      <c r="J949" s="36"/>
      <c r="K949" s="36"/>
    </row>
    <row r="950" ht="15.75" customHeight="1">
      <c r="F950" s="36"/>
      <c r="G950" s="36"/>
      <c r="I950" s="36"/>
      <c r="J950" s="36"/>
      <c r="K950" s="36"/>
    </row>
    <row r="951" ht="15.75" customHeight="1">
      <c r="F951" s="36"/>
      <c r="G951" s="36"/>
      <c r="I951" s="36"/>
      <c r="J951" s="36"/>
      <c r="K951" s="36"/>
    </row>
    <row r="952" ht="15.75" customHeight="1">
      <c r="F952" s="36"/>
      <c r="G952" s="36"/>
      <c r="I952" s="36"/>
      <c r="J952" s="36"/>
      <c r="K952" s="36"/>
    </row>
    <row r="953" ht="15.75" customHeight="1">
      <c r="F953" s="36"/>
      <c r="G953" s="36"/>
      <c r="I953" s="36"/>
      <c r="J953" s="36"/>
      <c r="K953" s="36"/>
    </row>
    <row r="954" ht="15.75" customHeight="1">
      <c r="F954" s="36"/>
      <c r="G954" s="36"/>
      <c r="I954" s="36"/>
      <c r="J954" s="36"/>
      <c r="K954" s="36"/>
    </row>
    <row r="955" ht="15.75" customHeight="1">
      <c r="F955" s="36"/>
      <c r="G955" s="36"/>
      <c r="I955" s="36"/>
      <c r="J955" s="36"/>
      <c r="K955" s="36"/>
    </row>
    <row r="956" ht="15.75" customHeight="1">
      <c r="F956" s="36"/>
      <c r="G956" s="36"/>
      <c r="I956" s="36"/>
      <c r="J956" s="36"/>
      <c r="K956" s="36"/>
    </row>
    <row r="957" ht="15.75" customHeight="1">
      <c r="F957" s="36"/>
      <c r="G957" s="36"/>
      <c r="I957" s="36"/>
      <c r="J957" s="36"/>
      <c r="K957" s="36"/>
    </row>
    <row r="958" ht="15.75" customHeight="1">
      <c r="F958" s="36"/>
      <c r="G958" s="36"/>
      <c r="I958" s="36"/>
      <c r="J958" s="36"/>
      <c r="K958" s="36"/>
    </row>
    <row r="959" ht="15.75" customHeight="1">
      <c r="F959" s="36"/>
      <c r="G959" s="36"/>
      <c r="I959" s="36"/>
      <c r="J959" s="36"/>
      <c r="K959" s="36"/>
    </row>
    <row r="960" ht="15.75" customHeight="1">
      <c r="F960" s="36"/>
      <c r="G960" s="36"/>
      <c r="I960" s="36"/>
      <c r="J960" s="36"/>
      <c r="K960" s="36"/>
    </row>
    <row r="961" ht="15.75" customHeight="1">
      <c r="F961" s="36"/>
      <c r="G961" s="36"/>
      <c r="I961" s="36"/>
      <c r="J961" s="36"/>
      <c r="K961" s="36"/>
    </row>
    <row r="962" ht="15.75" customHeight="1">
      <c r="F962" s="36"/>
      <c r="G962" s="36"/>
      <c r="I962" s="36"/>
      <c r="J962" s="36"/>
      <c r="K962" s="36"/>
    </row>
    <row r="963" ht="15.75" customHeight="1">
      <c r="F963" s="36"/>
      <c r="G963" s="36"/>
      <c r="I963" s="36"/>
      <c r="J963" s="36"/>
      <c r="K963" s="36"/>
    </row>
    <row r="964" ht="15.75" customHeight="1">
      <c r="F964" s="36"/>
      <c r="G964" s="36"/>
      <c r="I964" s="36"/>
      <c r="J964" s="36"/>
      <c r="K964" s="36"/>
    </row>
    <row r="965" ht="15.75" customHeight="1">
      <c r="F965" s="36"/>
      <c r="G965" s="36"/>
      <c r="I965" s="36"/>
      <c r="J965" s="36"/>
      <c r="K965" s="36"/>
    </row>
    <row r="966" ht="15.75" customHeight="1">
      <c r="F966" s="36"/>
      <c r="G966" s="36"/>
      <c r="I966" s="36"/>
      <c r="J966" s="36"/>
      <c r="K966" s="36"/>
    </row>
    <row r="967" ht="15.75" customHeight="1">
      <c r="F967" s="36"/>
      <c r="G967" s="36"/>
      <c r="I967" s="36"/>
      <c r="J967" s="36"/>
      <c r="K967" s="36"/>
    </row>
    <row r="968" ht="15.75" customHeight="1">
      <c r="F968" s="36"/>
      <c r="G968" s="36"/>
      <c r="I968" s="36"/>
      <c r="J968" s="36"/>
      <c r="K968" s="36"/>
    </row>
    <row r="969" ht="15.75" customHeight="1">
      <c r="F969" s="36"/>
      <c r="G969" s="36"/>
      <c r="I969" s="36"/>
      <c r="J969" s="36"/>
      <c r="K969" s="36"/>
    </row>
    <row r="970" ht="15.75" customHeight="1">
      <c r="F970" s="36"/>
      <c r="G970" s="36"/>
      <c r="I970" s="36"/>
      <c r="J970" s="36"/>
      <c r="K970" s="36"/>
    </row>
    <row r="971" ht="15.75" customHeight="1">
      <c r="F971" s="36"/>
      <c r="G971" s="36"/>
      <c r="I971" s="36"/>
      <c r="J971" s="36"/>
      <c r="K971" s="36"/>
    </row>
    <row r="972" ht="15.75" customHeight="1">
      <c r="F972" s="36"/>
      <c r="G972" s="36"/>
      <c r="I972" s="36"/>
      <c r="J972" s="36"/>
      <c r="K972" s="36"/>
    </row>
    <row r="973" ht="15.75" customHeight="1">
      <c r="F973" s="36"/>
      <c r="G973" s="36"/>
      <c r="I973" s="36"/>
      <c r="J973" s="36"/>
      <c r="K973" s="36"/>
    </row>
    <row r="974" ht="15.75" customHeight="1">
      <c r="F974" s="36"/>
      <c r="G974" s="36"/>
      <c r="I974" s="36"/>
      <c r="J974" s="36"/>
      <c r="K974" s="36"/>
    </row>
    <row r="975" ht="15.75" customHeight="1">
      <c r="F975" s="36"/>
      <c r="G975" s="36"/>
      <c r="I975" s="36"/>
      <c r="J975" s="36"/>
      <c r="K975" s="36"/>
    </row>
    <row r="976" ht="15.75" customHeight="1">
      <c r="F976" s="36"/>
      <c r="G976" s="36"/>
      <c r="I976" s="36"/>
      <c r="J976" s="36"/>
      <c r="K976" s="36"/>
    </row>
    <row r="977" ht="15.75" customHeight="1">
      <c r="F977" s="36"/>
      <c r="G977" s="36"/>
      <c r="I977" s="36"/>
      <c r="J977" s="36"/>
      <c r="K977" s="36"/>
    </row>
    <row r="978" ht="15.75" customHeight="1">
      <c r="F978" s="36"/>
      <c r="G978" s="36"/>
      <c r="I978" s="36"/>
      <c r="J978" s="36"/>
      <c r="K978" s="36"/>
    </row>
    <row r="979" ht="15.75" customHeight="1">
      <c r="F979" s="36"/>
      <c r="G979" s="36"/>
      <c r="I979" s="36"/>
      <c r="J979" s="36"/>
      <c r="K979" s="36"/>
    </row>
    <row r="980" ht="15.75" customHeight="1">
      <c r="F980" s="36"/>
      <c r="G980" s="36"/>
      <c r="I980" s="36"/>
      <c r="J980" s="36"/>
      <c r="K980" s="36"/>
    </row>
    <row r="981" ht="15.75" customHeight="1">
      <c r="F981" s="36"/>
      <c r="G981" s="36"/>
      <c r="I981" s="36"/>
      <c r="J981" s="36"/>
      <c r="K981" s="36"/>
    </row>
    <row r="982" ht="15.75" customHeight="1">
      <c r="F982" s="36"/>
      <c r="G982" s="36"/>
      <c r="I982" s="36"/>
      <c r="J982" s="36"/>
      <c r="K982" s="36"/>
    </row>
    <row r="983" ht="15.75" customHeight="1">
      <c r="F983" s="36"/>
      <c r="G983" s="36"/>
      <c r="I983" s="36"/>
      <c r="J983" s="36"/>
      <c r="K983" s="36"/>
    </row>
    <row r="984" ht="15.75" customHeight="1">
      <c r="F984" s="36"/>
      <c r="G984" s="36"/>
      <c r="I984" s="36"/>
      <c r="J984" s="36"/>
      <c r="K984" s="36"/>
    </row>
    <row r="985" ht="15.75" customHeight="1">
      <c r="F985" s="36"/>
      <c r="G985" s="36"/>
      <c r="I985" s="36"/>
      <c r="J985" s="36"/>
      <c r="K985" s="36"/>
    </row>
    <row r="986" ht="15.75" customHeight="1">
      <c r="F986" s="36"/>
      <c r="G986" s="36"/>
      <c r="I986" s="36"/>
      <c r="J986" s="36"/>
      <c r="K986" s="36"/>
    </row>
    <row r="987" ht="15.75" customHeight="1">
      <c r="F987" s="36"/>
      <c r="G987" s="36"/>
      <c r="I987" s="36"/>
      <c r="J987" s="36"/>
      <c r="K987" s="36"/>
    </row>
    <row r="988" ht="15.75" customHeight="1">
      <c r="F988" s="36"/>
      <c r="G988" s="36"/>
      <c r="I988" s="36"/>
      <c r="J988" s="36"/>
      <c r="K988" s="36"/>
    </row>
    <row r="989" ht="15.75" customHeight="1">
      <c r="F989" s="36"/>
      <c r="G989" s="36"/>
      <c r="I989" s="36"/>
      <c r="J989" s="36"/>
      <c r="K989" s="36"/>
    </row>
    <row r="990" ht="15.75" customHeight="1">
      <c r="F990" s="36"/>
      <c r="G990" s="36"/>
      <c r="I990" s="36"/>
      <c r="J990" s="36"/>
      <c r="K990" s="36"/>
    </row>
    <row r="991" ht="15.75" customHeight="1">
      <c r="F991" s="36"/>
      <c r="G991" s="36"/>
      <c r="I991" s="36"/>
      <c r="J991" s="36"/>
      <c r="K991" s="36"/>
    </row>
    <row r="992" ht="15.75" customHeight="1">
      <c r="F992" s="36"/>
      <c r="G992" s="36"/>
      <c r="I992" s="36"/>
      <c r="J992" s="36"/>
      <c r="K992" s="36"/>
    </row>
    <row r="993" ht="15.75" customHeight="1">
      <c r="F993" s="36"/>
      <c r="G993" s="36"/>
      <c r="I993" s="36"/>
      <c r="J993" s="36"/>
      <c r="K993" s="36"/>
    </row>
    <row r="994" ht="15.75" customHeight="1">
      <c r="F994" s="36"/>
      <c r="G994" s="36"/>
      <c r="I994" s="36"/>
      <c r="J994" s="36"/>
      <c r="K994" s="36"/>
    </row>
    <row r="995" ht="15.75" customHeight="1">
      <c r="F995" s="36"/>
      <c r="G995" s="36"/>
      <c r="I995" s="36"/>
      <c r="J995" s="36"/>
      <c r="K995" s="36"/>
    </row>
    <row r="996" ht="15.75" customHeight="1">
      <c r="F996" s="36"/>
      <c r="G996" s="36"/>
      <c r="I996" s="36"/>
      <c r="J996" s="36"/>
      <c r="K996" s="36"/>
    </row>
    <row r="997" ht="15.75" customHeight="1">
      <c r="F997" s="36"/>
      <c r="G997" s="36"/>
      <c r="I997" s="36"/>
      <c r="J997" s="36"/>
      <c r="K997" s="36"/>
    </row>
    <row r="998" ht="15.75" customHeight="1">
      <c r="F998" s="36"/>
      <c r="G998" s="36"/>
      <c r="I998" s="36"/>
      <c r="J998" s="36"/>
      <c r="K998" s="36"/>
    </row>
    <row r="999" ht="15.75" customHeight="1">
      <c r="F999" s="36"/>
      <c r="G999" s="36"/>
      <c r="I999" s="36"/>
      <c r="J999" s="36"/>
      <c r="K999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7.13"/>
    <col customWidth="1" min="5" max="5" width="7.5"/>
  </cols>
  <sheetData>
    <row r="1" ht="15.75" customHeight="1">
      <c r="A1" s="25" t="s">
        <v>232</v>
      </c>
      <c r="B1" s="38" t="s">
        <v>236</v>
      </c>
      <c r="C1" s="29" t="s">
        <v>237</v>
      </c>
      <c r="D1" s="29" t="s">
        <v>238</v>
      </c>
      <c r="E1" s="29" t="s">
        <v>239</v>
      </c>
      <c r="F1" s="38" t="s">
        <v>240</v>
      </c>
      <c r="G1" s="29" t="s">
        <v>241</v>
      </c>
      <c r="H1" s="29"/>
      <c r="I1" s="31"/>
      <c r="K1" s="25"/>
      <c r="L1" s="29"/>
    </row>
    <row r="2" ht="15.75" customHeight="1">
      <c r="A2" s="25" t="s">
        <v>242</v>
      </c>
      <c r="B2" s="23">
        <f t="shared" ref="B2:B48" si="1">C2+G2</f>
        <v>10</v>
      </c>
      <c r="C2" s="29">
        <v>10.0</v>
      </c>
      <c r="D2" s="39">
        <f>COUNTIF(Master!B:B, A2)</f>
        <v>0</v>
      </c>
      <c r="E2" s="39">
        <f>SUMIF(Master!B:B, A2, Master!J:J)</f>
        <v>0</v>
      </c>
      <c r="G2" s="29"/>
      <c r="H2" s="29"/>
      <c r="I2" s="31"/>
      <c r="K2" s="25"/>
      <c r="L2" s="29"/>
      <c r="O2" s="25"/>
      <c r="P2" s="29"/>
    </row>
    <row r="3" ht="15.75" customHeight="1">
      <c r="A3" s="25" t="s">
        <v>243</v>
      </c>
      <c r="B3" s="23">
        <f t="shared" si="1"/>
        <v>10</v>
      </c>
      <c r="C3" s="29">
        <v>10.0</v>
      </c>
      <c r="D3" s="39">
        <f>COUNTIF(Master!B:B, A3)</f>
        <v>0</v>
      </c>
      <c r="E3" s="39">
        <f>SUMIF(Master!B:B, A3, Master!J:J)</f>
        <v>0</v>
      </c>
      <c r="G3" s="29"/>
      <c r="H3" s="29"/>
      <c r="I3" s="31"/>
      <c r="J3" s="22"/>
      <c r="K3" s="25"/>
      <c r="L3" s="29"/>
      <c r="O3" s="25"/>
      <c r="P3" s="29"/>
    </row>
    <row r="4" ht="15.75" customHeight="1">
      <c r="A4" s="25" t="s">
        <v>84</v>
      </c>
      <c r="B4" s="23">
        <f t="shared" si="1"/>
        <v>10</v>
      </c>
      <c r="C4" s="29">
        <v>10.0</v>
      </c>
      <c r="D4" s="39">
        <f>COUNTIF(Master!B:B, A4)</f>
        <v>2</v>
      </c>
      <c r="E4" s="39">
        <f>SUMIF(Master!B:B, A4, Master!J:J)</f>
        <v>2</v>
      </c>
      <c r="G4" s="29"/>
      <c r="H4" s="29"/>
      <c r="I4" s="31"/>
      <c r="K4" s="25"/>
      <c r="L4" s="29"/>
      <c r="O4" s="25"/>
      <c r="P4" s="29"/>
    </row>
    <row r="5" ht="15.75" customHeight="1">
      <c r="A5" s="25" t="s">
        <v>183</v>
      </c>
      <c r="B5" s="23">
        <f t="shared" si="1"/>
        <v>17.5</v>
      </c>
      <c r="C5" s="29">
        <v>17.5</v>
      </c>
      <c r="D5" s="39">
        <f>COUNTIF(Master!B:B, A5)</f>
        <v>2</v>
      </c>
      <c r="E5" s="39">
        <f>SUMIF(Master!B:B, A5, Master!J:J)</f>
        <v>2</v>
      </c>
      <c r="G5" s="29"/>
      <c r="H5" s="29"/>
      <c r="I5" s="31"/>
      <c r="K5" s="25"/>
      <c r="L5" s="29"/>
      <c r="O5" s="25"/>
      <c r="P5" s="29"/>
    </row>
    <row r="6" ht="15.75" customHeight="1">
      <c r="A6" s="25" t="s">
        <v>244</v>
      </c>
      <c r="B6" s="23">
        <f t="shared" si="1"/>
        <v>17.5</v>
      </c>
      <c r="C6" s="29">
        <v>17.5</v>
      </c>
      <c r="D6" s="39">
        <f>COUNTIF(Master!B:B, A6)</f>
        <v>0</v>
      </c>
      <c r="E6" s="39">
        <f>SUMIF(Master!B:B, A6, Master!J:J)</f>
        <v>0</v>
      </c>
      <c r="G6" s="29"/>
      <c r="H6" s="29"/>
      <c r="I6" s="31"/>
      <c r="J6" s="22"/>
      <c r="K6" s="25"/>
      <c r="L6" s="29"/>
      <c r="O6" s="25"/>
      <c r="P6" s="29"/>
    </row>
    <row r="7" ht="15.75" customHeight="1">
      <c r="A7" s="25" t="s">
        <v>245</v>
      </c>
      <c r="B7" s="23">
        <f t="shared" si="1"/>
        <v>15</v>
      </c>
      <c r="C7" s="29">
        <v>15.0</v>
      </c>
      <c r="D7" s="39">
        <f>COUNTIF(Master!B:B, A7)</f>
        <v>0</v>
      </c>
      <c r="E7" s="39">
        <f>SUMIF(Master!B:B, A7, Master!J:J)</f>
        <v>0</v>
      </c>
      <c r="G7" s="29"/>
      <c r="H7" s="29"/>
      <c r="I7" s="31"/>
      <c r="J7" s="22"/>
      <c r="K7" s="25"/>
      <c r="L7" s="29"/>
      <c r="O7" s="25"/>
      <c r="P7" s="29"/>
    </row>
    <row r="8" ht="15.75" customHeight="1">
      <c r="A8" s="25" t="s">
        <v>38</v>
      </c>
      <c r="B8" s="23">
        <f t="shared" si="1"/>
        <v>15</v>
      </c>
      <c r="C8" s="29">
        <v>15.0</v>
      </c>
      <c r="D8" s="39">
        <f>COUNTIF(Master!B:B, A8)</f>
        <v>1</v>
      </c>
      <c r="E8" s="39">
        <f>SUMIF(Master!B:B, A8, Master!J:J)</f>
        <v>1</v>
      </c>
      <c r="G8" s="29"/>
      <c r="H8" s="29"/>
      <c r="I8" s="31"/>
      <c r="J8" s="22"/>
      <c r="K8" s="25"/>
      <c r="L8" s="29"/>
      <c r="O8" s="25"/>
      <c r="P8" s="29"/>
    </row>
    <row r="9" ht="15.75" customHeight="1">
      <c r="A9" s="25" t="s">
        <v>90</v>
      </c>
      <c r="B9" s="23">
        <f t="shared" si="1"/>
        <v>20</v>
      </c>
      <c r="C9" s="29">
        <v>20.0</v>
      </c>
      <c r="D9" s="39">
        <f>COUNTIF(Master!B:B, A9)</f>
        <v>3</v>
      </c>
      <c r="E9" s="39">
        <f>SUMIF(Master!B:B, A9, Master!J:J)</f>
        <v>3</v>
      </c>
      <c r="G9" s="29"/>
      <c r="H9" s="29"/>
      <c r="I9" s="31"/>
      <c r="J9" s="29"/>
      <c r="K9" s="25"/>
      <c r="L9" s="29"/>
      <c r="O9" s="25"/>
      <c r="P9" s="29"/>
    </row>
    <row r="10" ht="15.75" customHeight="1">
      <c r="A10" s="25" t="s">
        <v>122</v>
      </c>
      <c r="B10" s="23">
        <f t="shared" si="1"/>
        <v>20</v>
      </c>
      <c r="C10" s="29">
        <v>20.0</v>
      </c>
      <c r="D10" s="39">
        <f>COUNTIF(Master!B:B, A10)</f>
        <v>1</v>
      </c>
      <c r="E10" s="39">
        <f>SUMIF(Master!B:B, A10, Master!J:J)</f>
        <v>1</v>
      </c>
      <c r="G10" s="29"/>
      <c r="H10" s="29"/>
      <c r="I10" s="31"/>
      <c r="J10" s="22"/>
      <c r="K10" s="25"/>
      <c r="L10" s="29"/>
      <c r="O10" s="25"/>
      <c r="P10" s="29"/>
    </row>
    <row r="11" ht="15.75" customHeight="1">
      <c r="A11" s="25" t="s">
        <v>157</v>
      </c>
      <c r="B11" s="23">
        <f t="shared" si="1"/>
        <v>22.5</v>
      </c>
      <c r="C11" s="29">
        <v>22.5</v>
      </c>
      <c r="D11" s="39">
        <f>COUNTIF(Master!B:B, A11)</f>
        <v>3</v>
      </c>
      <c r="E11" s="39">
        <f>SUMIF(Master!B:B, A11, Master!J:J)</f>
        <v>3</v>
      </c>
      <c r="G11" s="29"/>
      <c r="H11" s="29"/>
      <c r="I11" s="31"/>
      <c r="J11" s="29"/>
      <c r="K11" s="25"/>
      <c r="L11" s="29"/>
      <c r="O11" s="25"/>
      <c r="P11" s="35"/>
    </row>
    <row r="12" ht="15.75" customHeight="1">
      <c r="A12" s="25" t="s">
        <v>71</v>
      </c>
      <c r="B12" s="23">
        <f t="shared" si="1"/>
        <v>38.715</v>
      </c>
      <c r="C12" s="29">
        <v>22.5</v>
      </c>
      <c r="D12" s="39">
        <f>COUNTIF(Master!B:B, A12)</f>
        <v>4</v>
      </c>
      <c r="E12" s="39">
        <f>SUMIF(Master!B:B, A12, Master!J:J)</f>
        <v>4</v>
      </c>
      <c r="F12" s="40">
        <v>64.86</v>
      </c>
      <c r="G12" s="29">
        <f>F12/E12</f>
        <v>16.215</v>
      </c>
      <c r="H12" s="29"/>
      <c r="I12" s="31"/>
      <c r="J12" s="22"/>
      <c r="K12" s="25"/>
      <c r="L12" s="29"/>
      <c r="O12" s="25"/>
      <c r="P12" s="35"/>
    </row>
    <row r="13" ht="15.75" customHeight="1">
      <c r="A13" s="25" t="s">
        <v>73</v>
      </c>
      <c r="B13" s="23">
        <f t="shared" si="1"/>
        <v>30</v>
      </c>
      <c r="C13" s="41">
        <v>30.0</v>
      </c>
      <c r="D13" s="39">
        <f>COUNTIF(Master!B:B, A13)</f>
        <v>2</v>
      </c>
      <c r="E13" s="39">
        <f>SUMIF(Master!B:B, A13, Master!J:J)</f>
        <v>2</v>
      </c>
      <c r="G13" s="29"/>
      <c r="H13" s="29"/>
      <c r="I13" s="31"/>
      <c r="J13" s="22"/>
      <c r="K13" s="25"/>
      <c r="L13" s="29"/>
      <c r="O13" s="25"/>
      <c r="P13" s="29"/>
    </row>
    <row r="14" ht="15.75" customHeight="1">
      <c r="A14" s="25" t="s">
        <v>86</v>
      </c>
      <c r="B14" s="23">
        <f t="shared" si="1"/>
        <v>22.5</v>
      </c>
      <c r="C14" s="29">
        <v>22.5</v>
      </c>
      <c r="D14" s="39">
        <f>COUNTIF(Master!B:B, A14)</f>
        <v>1</v>
      </c>
      <c r="E14" s="39">
        <f>SUMIF(Master!B:B, A14, Master!J:J)</f>
        <v>1</v>
      </c>
      <c r="G14" s="29"/>
      <c r="H14" s="29"/>
      <c r="I14" s="31"/>
      <c r="J14" s="22"/>
      <c r="K14" s="25"/>
      <c r="L14" s="29"/>
      <c r="O14" s="25"/>
      <c r="P14" s="35"/>
    </row>
    <row r="15" ht="15.75" customHeight="1">
      <c r="A15" s="25" t="s">
        <v>113</v>
      </c>
      <c r="B15" s="23">
        <f t="shared" si="1"/>
        <v>22.5</v>
      </c>
      <c r="C15" s="29">
        <v>22.5</v>
      </c>
      <c r="D15" s="39">
        <f>COUNTIF(Master!B:B, A15)</f>
        <v>2</v>
      </c>
      <c r="E15" s="39">
        <f>SUMIF(Master!B:B, A15, Master!J:J)</f>
        <v>2</v>
      </c>
      <c r="G15" s="29"/>
      <c r="H15" s="29"/>
      <c r="I15" s="31"/>
      <c r="J15" s="22"/>
      <c r="K15" s="25"/>
      <c r="L15" s="29"/>
      <c r="O15" s="25"/>
      <c r="P15" s="29"/>
    </row>
    <row r="16" ht="15.75" customHeight="1">
      <c r="A16" s="25" t="s">
        <v>94</v>
      </c>
      <c r="B16" s="23">
        <f t="shared" si="1"/>
        <v>20</v>
      </c>
      <c r="C16" s="29">
        <v>20.0</v>
      </c>
      <c r="D16" s="39">
        <f>COUNTIF(Master!B:B, A16)</f>
        <v>3</v>
      </c>
      <c r="E16" s="39">
        <f>SUMIF(Master!B:B, A16, Master!J:J)</f>
        <v>3</v>
      </c>
      <c r="G16" s="29"/>
      <c r="H16" s="29"/>
      <c r="I16" s="31"/>
      <c r="J16" s="29"/>
      <c r="K16" s="25"/>
      <c r="L16" s="29"/>
      <c r="O16" s="25"/>
      <c r="P16" s="29"/>
    </row>
    <row r="17" ht="15.75" customHeight="1">
      <c r="A17" s="25" t="s">
        <v>107</v>
      </c>
      <c r="B17" s="23">
        <f t="shared" si="1"/>
        <v>20</v>
      </c>
      <c r="C17" s="29">
        <v>20.0</v>
      </c>
      <c r="D17" s="39">
        <f>COUNTIF(Master!B:B, A17)</f>
        <v>4</v>
      </c>
      <c r="E17" s="39">
        <f>SUMIF(Master!B:B, A17, Master!J:J)</f>
        <v>4</v>
      </c>
      <c r="G17" s="29"/>
      <c r="H17" s="29"/>
      <c r="I17" s="31"/>
      <c r="J17" s="22"/>
      <c r="K17" s="25"/>
      <c r="L17" s="29"/>
      <c r="O17" s="25"/>
      <c r="P17" s="29"/>
    </row>
    <row r="18" ht="15.75" customHeight="1">
      <c r="A18" s="25" t="s">
        <v>28</v>
      </c>
      <c r="B18" s="23">
        <f t="shared" si="1"/>
        <v>20</v>
      </c>
      <c r="C18" s="29">
        <v>20.0</v>
      </c>
      <c r="D18" s="39">
        <f>COUNTIF(Master!B:B, A18)</f>
        <v>1</v>
      </c>
      <c r="E18" s="39">
        <f>SUMIF(Master!B:B, A18, Master!J:J)</f>
        <v>1.25</v>
      </c>
      <c r="G18" s="29"/>
      <c r="H18" s="29"/>
      <c r="I18" s="31"/>
      <c r="J18" s="29"/>
      <c r="K18" s="25"/>
      <c r="L18" s="29"/>
      <c r="O18" s="25"/>
      <c r="P18" s="29"/>
    </row>
    <row r="19" ht="15.75" customHeight="1">
      <c r="A19" s="25" t="s">
        <v>57</v>
      </c>
      <c r="B19" s="23">
        <f t="shared" si="1"/>
        <v>25</v>
      </c>
      <c r="C19" s="29">
        <v>25.0</v>
      </c>
      <c r="D19" s="39">
        <f>COUNTIF(Master!B:B, A19)</f>
        <v>3</v>
      </c>
      <c r="E19" s="39">
        <f>SUMIF(Master!B:B, A19, Master!J:J)</f>
        <v>3</v>
      </c>
      <c r="G19" s="29"/>
      <c r="H19" s="29"/>
      <c r="I19" s="31"/>
      <c r="J19" s="22"/>
      <c r="K19" s="25"/>
      <c r="L19" s="29"/>
      <c r="O19" s="25"/>
      <c r="P19" s="35"/>
    </row>
    <row r="20" ht="15.75" customHeight="1">
      <c r="A20" s="25" t="s">
        <v>137</v>
      </c>
      <c r="B20" s="23">
        <f t="shared" si="1"/>
        <v>30</v>
      </c>
      <c r="C20" s="29">
        <v>30.0</v>
      </c>
      <c r="D20" s="39">
        <f>COUNTIF(Master!B:B, A20)</f>
        <v>6</v>
      </c>
      <c r="E20" s="39">
        <f>SUMIF(Master!B:B, A20, Master!J:J)</f>
        <v>7</v>
      </c>
      <c r="G20" s="29"/>
      <c r="H20" s="29"/>
      <c r="I20" s="31"/>
      <c r="J20" s="29"/>
      <c r="K20" s="25"/>
      <c r="L20" s="29"/>
      <c r="O20" s="25"/>
      <c r="P20" s="35"/>
    </row>
    <row r="21" ht="15.75" customHeight="1">
      <c r="A21" s="25" t="s">
        <v>62</v>
      </c>
      <c r="B21" s="23">
        <f t="shared" si="1"/>
        <v>26.25</v>
      </c>
      <c r="C21" s="29">
        <v>25.0</v>
      </c>
      <c r="D21" s="39">
        <f>COUNTIF(Master!B:B, A21)</f>
        <v>4</v>
      </c>
      <c r="E21" s="39">
        <f>SUMIF(Master!B:B, A21, Master!J:J)</f>
        <v>4</v>
      </c>
      <c r="F21" s="29">
        <v>5.0</v>
      </c>
      <c r="G21" s="29">
        <f>F21/E21</f>
        <v>1.25</v>
      </c>
      <c r="H21" s="29"/>
      <c r="I21" s="31"/>
      <c r="J21" s="22"/>
      <c r="K21" s="25"/>
      <c r="L21" s="29"/>
      <c r="O21" s="25"/>
      <c r="P21" s="29"/>
    </row>
    <row r="22" ht="15.75" customHeight="1">
      <c r="A22" s="25" t="s">
        <v>193</v>
      </c>
      <c r="B22" s="23">
        <f t="shared" si="1"/>
        <v>30</v>
      </c>
      <c r="C22" s="29">
        <v>30.0</v>
      </c>
      <c r="D22" s="39">
        <f>COUNTIF(Master!B:B, A22)</f>
        <v>2</v>
      </c>
      <c r="E22" s="39">
        <f>SUMIF(Master!B:B, A22, Master!J:J)</f>
        <v>2</v>
      </c>
      <c r="G22" s="29"/>
      <c r="H22" s="29"/>
      <c r="I22" s="31"/>
      <c r="J22" s="29"/>
      <c r="K22" s="25"/>
      <c r="L22" s="29"/>
      <c r="O22" s="25"/>
      <c r="P22" s="29"/>
    </row>
    <row r="23" ht="15.75" customHeight="1">
      <c r="A23" s="25" t="s">
        <v>68</v>
      </c>
      <c r="B23" s="23">
        <f t="shared" si="1"/>
        <v>30</v>
      </c>
      <c r="C23" s="29">
        <v>30.0</v>
      </c>
      <c r="D23" s="39">
        <f>COUNTIF(Master!B:B, A23)</f>
        <v>5</v>
      </c>
      <c r="E23" s="39">
        <f>SUMIF(Master!B:B, A23, Master!J:J)</f>
        <v>5</v>
      </c>
      <c r="G23" s="29"/>
      <c r="H23" s="29"/>
      <c r="I23" s="31"/>
      <c r="J23" s="22"/>
      <c r="K23" s="25"/>
      <c r="L23" s="29"/>
      <c r="O23" s="25"/>
      <c r="P23" s="35"/>
    </row>
    <row r="24" ht="15.75" customHeight="1">
      <c r="A24" s="25" t="s">
        <v>26</v>
      </c>
      <c r="B24" s="23">
        <f t="shared" si="1"/>
        <v>49.47333333</v>
      </c>
      <c r="C24" s="29">
        <v>30.0</v>
      </c>
      <c r="D24" s="39">
        <f>COUNTIF(Master!B:B, A24)</f>
        <v>3</v>
      </c>
      <c r="E24" s="39">
        <f>SUMIF(Master!B:B, A24, Master!J:J)</f>
        <v>3</v>
      </c>
      <c r="F24" s="41">
        <v>58.42</v>
      </c>
      <c r="G24" s="29">
        <f>F24/E24</f>
        <v>19.47333333</v>
      </c>
      <c r="H24" s="29"/>
      <c r="I24" s="31"/>
      <c r="J24" s="29"/>
      <c r="K24" s="25"/>
      <c r="L24" s="29"/>
      <c r="O24" s="25"/>
      <c r="P24" s="29"/>
    </row>
    <row r="25" ht="15.75" customHeight="1">
      <c r="A25" s="25" t="s">
        <v>15</v>
      </c>
      <c r="B25" s="23">
        <f t="shared" si="1"/>
        <v>35</v>
      </c>
      <c r="C25" s="29">
        <v>35.0</v>
      </c>
      <c r="D25" s="39">
        <f>COUNTIF(Master!B:B, A25)</f>
        <v>7</v>
      </c>
      <c r="E25" s="39">
        <f>SUMIF(Master!B:B, A25, Master!J:J)</f>
        <v>7</v>
      </c>
      <c r="G25" s="29"/>
      <c r="H25" s="29"/>
      <c r="I25" s="31"/>
      <c r="J25" s="22"/>
      <c r="K25" s="25"/>
      <c r="L25" s="29"/>
      <c r="O25" s="25"/>
      <c r="P25" s="29"/>
    </row>
    <row r="26" ht="15.75" customHeight="1">
      <c r="A26" s="25" t="s">
        <v>49</v>
      </c>
      <c r="B26" s="23">
        <f t="shared" si="1"/>
        <v>43.33333333</v>
      </c>
      <c r="C26" s="29">
        <v>35.0</v>
      </c>
      <c r="D26" s="39">
        <f>COUNTIF(Master!B:B, A26)</f>
        <v>3</v>
      </c>
      <c r="E26" s="39">
        <f>SUMIF(Master!B:B, A26, Master!J:J)</f>
        <v>3</v>
      </c>
      <c r="F26" s="29">
        <v>25.0</v>
      </c>
      <c r="G26" s="29">
        <f>F26/E26</f>
        <v>8.333333333</v>
      </c>
      <c r="H26" s="29"/>
      <c r="I26" s="31"/>
      <c r="J26" s="29"/>
      <c r="K26" s="25"/>
      <c r="L26" s="29"/>
      <c r="O26" s="25"/>
      <c r="P26" s="29"/>
    </row>
    <row r="27" ht="15.75" customHeight="1">
      <c r="A27" s="25" t="s">
        <v>147</v>
      </c>
      <c r="B27" s="23">
        <f t="shared" si="1"/>
        <v>35</v>
      </c>
      <c r="C27" s="29">
        <v>35.0</v>
      </c>
      <c r="D27" s="39">
        <f>COUNTIF(Master!B:B, A27)</f>
        <v>1</v>
      </c>
      <c r="E27" s="39">
        <f>SUMIF(Master!B:B, A27, Master!J:J)</f>
        <v>1</v>
      </c>
      <c r="G27" s="29"/>
      <c r="H27" s="29"/>
      <c r="I27" s="31"/>
      <c r="J27" s="22"/>
      <c r="K27" s="25"/>
      <c r="L27" s="29"/>
      <c r="O27" s="25"/>
      <c r="P27" s="35"/>
    </row>
    <row r="28" ht="15.75" customHeight="1">
      <c r="A28" s="25" t="s">
        <v>109</v>
      </c>
      <c r="B28" s="23">
        <f t="shared" si="1"/>
        <v>48.33333333</v>
      </c>
      <c r="C28" s="22">
        <v>35.0</v>
      </c>
      <c r="D28" s="39">
        <f>COUNTIF(Master!B:B, A28)</f>
        <v>6</v>
      </c>
      <c r="E28" s="39">
        <f>SUMIF(Master!B:B, A28, Master!J:J)</f>
        <v>6</v>
      </c>
      <c r="F28" s="29">
        <v>80.0</v>
      </c>
      <c r="G28" s="29">
        <f t="shared" ref="G28:G29" si="2">F28/E28</f>
        <v>13.33333333</v>
      </c>
      <c r="H28" s="29"/>
      <c r="I28" s="31"/>
      <c r="J28" s="29"/>
      <c r="K28" s="25"/>
      <c r="L28" s="22"/>
      <c r="O28" s="25"/>
      <c r="P28" s="35"/>
    </row>
    <row r="29" ht="15.75" customHeight="1">
      <c r="A29" s="25" t="s">
        <v>54</v>
      </c>
      <c r="B29" s="23">
        <f t="shared" si="1"/>
        <v>46.22222222</v>
      </c>
      <c r="C29" s="29">
        <v>40.0</v>
      </c>
      <c r="D29" s="39">
        <f>COUNTIF(Master!B:B, A29)</f>
        <v>9</v>
      </c>
      <c r="E29" s="39">
        <f>SUMIF(Master!B:B, A29, Master!J:J)</f>
        <v>9</v>
      </c>
      <c r="F29" s="29">
        <v>56.0</v>
      </c>
      <c r="G29" s="29">
        <f t="shared" si="2"/>
        <v>6.222222222</v>
      </c>
      <c r="H29" s="29"/>
      <c r="I29" s="31"/>
      <c r="J29" s="22"/>
      <c r="K29" s="25"/>
      <c r="L29" s="29"/>
      <c r="O29" s="25"/>
      <c r="P29" s="29"/>
    </row>
    <row r="30" ht="15.75" customHeight="1">
      <c r="A30" s="25" t="s">
        <v>246</v>
      </c>
      <c r="B30" s="23">
        <f t="shared" si="1"/>
        <v>35</v>
      </c>
      <c r="C30" s="35">
        <v>35.0</v>
      </c>
      <c r="D30" s="39">
        <f>COUNTIF(Master!B:B, A30)</f>
        <v>0</v>
      </c>
      <c r="E30" s="39">
        <f>SUMIF(Master!B:B, A30, Master!J:J)</f>
        <v>0</v>
      </c>
      <c r="F30" s="29"/>
      <c r="G30" s="29"/>
      <c r="H30" s="29"/>
      <c r="I30" s="31"/>
      <c r="J30" s="22"/>
      <c r="K30" s="25"/>
      <c r="L30" s="35"/>
      <c r="O30" s="25"/>
      <c r="P30" s="35"/>
    </row>
    <row r="31" ht="15.75" customHeight="1">
      <c r="A31" s="25" t="s">
        <v>40</v>
      </c>
      <c r="B31" s="23">
        <f t="shared" si="1"/>
        <v>55</v>
      </c>
      <c r="C31" s="29">
        <v>55.0</v>
      </c>
      <c r="D31" s="39">
        <f>COUNTIF(Master!B:B, A31)</f>
        <v>16</v>
      </c>
      <c r="E31" s="39">
        <f>SUMIF(Master!B:B, A31, Master!J:J)</f>
        <v>13.5</v>
      </c>
      <c r="G31" s="29"/>
      <c r="H31" s="29"/>
      <c r="I31" s="31"/>
      <c r="J31" s="22"/>
      <c r="K31" s="25"/>
      <c r="L31" s="29"/>
      <c r="O31" s="25"/>
      <c r="P31" s="35"/>
    </row>
    <row r="32" ht="15.75" customHeight="1">
      <c r="A32" s="25" t="s">
        <v>19</v>
      </c>
      <c r="B32" s="23">
        <f t="shared" si="1"/>
        <v>68.44296296</v>
      </c>
      <c r="C32" s="29">
        <v>45.0</v>
      </c>
      <c r="D32" s="39">
        <f>COUNTIF(Master!B:B, A32)</f>
        <v>6</v>
      </c>
      <c r="E32" s="39">
        <f>SUMIF(Master!B:B, A32, Master!J:J)</f>
        <v>6.75</v>
      </c>
      <c r="F32" s="29">
        <f>79.12*2</f>
        <v>158.24</v>
      </c>
      <c r="G32" s="29">
        <f t="shared" ref="G32:G33" si="3">F32/E32</f>
        <v>23.44296296</v>
      </c>
      <c r="H32" s="29"/>
      <c r="I32" s="31"/>
      <c r="J32" s="29"/>
      <c r="K32" s="25"/>
      <c r="L32" s="29"/>
      <c r="O32" s="25"/>
      <c r="P32" s="29"/>
    </row>
    <row r="33" ht="15.75" customHeight="1">
      <c r="A33" s="25" t="s">
        <v>30</v>
      </c>
      <c r="B33" s="23">
        <f t="shared" si="1"/>
        <v>57.25490196</v>
      </c>
      <c r="C33" s="41">
        <v>50.0</v>
      </c>
      <c r="D33" s="39">
        <f>COUNTIF(Master!B:B, A33)</f>
        <v>11</v>
      </c>
      <c r="E33" s="39">
        <f>SUMIF(Master!B:B, A33, Master!J:J)</f>
        <v>12.75</v>
      </c>
      <c r="F33" s="29">
        <v>92.5</v>
      </c>
      <c r="G33" s="29">
        <f t="shared" si="3"/>
        <v>7.254901961</v>
      </c>
      <c r="H33" s="29"/>
      <c r="I33" s="31"/>
      <c r="J33" s="22"/>
      <c r="K33" s="25"/>
      <c r="L33" s="29"/>
      <c r="O33" s="25"/>
      <c r="P33" s="35"/>
    </row>
    <row r="34" ht="15.75" customHeight="1">
      <c r="A34" s="25" t="s">
        <v>104</v>
      </c>
      <c r="B34" s="23">
        <f t="shared" si="1"/>
        <v>50</v>
      </c>
      <c r="C34" s="41">
        <v>50.0</v>
      </c>
      <c r="D34" s="39">
        <f>COUNTIF(Master!B:B, A34)</f>
        <v>3</v>
      </c>
      <c r="E34" s="39">
        <f>SUMIF(Master!B:B, A34, Master!J:J)</f>
        <v>3</v>
      </c>
      <c r="G34" s="29"/>
      <c r="H34" s="29"/>
      <c r="I34" s="31"/>
      <c r="J34" s="22"/>
      <c r="K34" s="25"/>
      <c r="L34" s="29"/>
      <c r="O34" s="25"/>
      <c r="P34" s="29"/>
    </row>
    <row r="35" ht="15.75" customHeight="1">
      <c r="A35" s="25" t="s">
        <v>247</v>
      </c>
      <c r="B35" s="23">
        <f t="shared" si="1"/>
        <v>45</v>
      </c>
      <c r="C35" s="29">
        <v>45.0</v>
      </c>
      <c r="D35" s="39">
        <f>COUNTIF(Master!B:B, A35)</f>
        <v>0</v>
      </c>
      <c r="E35" s="39">
        <f>SUMIF(Master!B:B, A35, Master!J:J)</f>
        <v>0</v>
      </c>
      <c r="G35" s="29"/>
      <c r="H35" s="29"/>
      <c r="I35" s="31"/>
      <c r="J35" s="29"/>
      <c r="K35" s="25"/>
      <c r="L35" s="29"/>
      <c r="O35" s="25"/>
      <c r="P35" s="29"/>
    </row>
    <row r="36" ht="15.75" customHeight="1">
      <c r="A36" s="25" t="s">
        <v>43</v>
      </c>
      <c r="B36" s="23">
        <f t="shared" si="1"/>
        <v>53.63636364</v>
      </c>
      <c r="C36" s="29">
        <v>50.0</v>
      </c>
      <c r="D36" s="39">
        <f>COUNTIF(Master!B:B, A36)</f>
        <v>3</v>
      </c>
      <c r="E36" s="39">
        <f>SUMIF(Master!B:B, A36, Master!J:J)</f>
        <v>2.75</v>
      </c>
      <c r="F36" s="29">
        <v>10.0</v>
      </c>
      <c r="G36" s="29">
        <f>F36/E36</f>
        <v>3.636363636</v>
      </c>
      <c r="H36" s="29"/>
      <c r="I36" s="31"/>
      <c r="J36" s="22"/>
      <c r="K36" s="25"/>
      <c r="L36" s="29"/>
      <c r="O36" s="25"/>
      <c r="P36" s="29"/>
    </row>
    <row r="37" ht="15.75" customHeight="1">
      <c r="A37" s="25" t="s">
        <v>77</v>
      </c>
      <c r="B37" s="23">
        <f t="shared" si="1"/>
        <v>25</v>
      </c>
      <c r="C37" s="22">
        <v>25.0</v>
      </c>
      <c r="D37" s="39">
        <f>COUNTIF(Master!B:B, A37)</f>
        <v>6</v>
      </c>
      <c r="E37" s="39">
        <f>SUMIF(Master!B:B, A37, Master!J:J)</f>
        <v>6.5</v>
      </c>
      <c r="G37" s="29"/>
      <c r="H37" s="29"/>
      <c r="I37" s="31"/>
      <c r="J37" s="22"/>
      <c r="K37" s="25"/>
      <c r="L37" s="22"/>
      <c r="O37" s="25"/>
      <c r="P37" s="29"/>
    </row>
    <row r="38" ht="15.75" customHeight="1">
      <c r="A38" s="25" t="s">
        <v>51</v>
      </c>
      <c r="B38" s="23">
        <f t="shared" si="1"/>
        <v>17.5</v>
      </c>
      <c r="C38" s="29">
        <v>17.5</v>
      </c>
      <c r="D38" s="39">
        <f>COUNTIF(Master!B:B, A38)</f>
        <v>2</v>
      </c>
      <c r="E38" s="39">
        <f>SUMIF(Master!B:B, A38, Master!J:J)</f>
        <v>2</v>
      </c>
      <c r="G38" s="29"/>
      <c r="H38" s="29"/>
      <c r="I38" s="31"/>
      <c r="J38" s="29"/>
      <c r="K38" s="25"/>
      <c r="L38" s="29"/>
      <c r="O38" s="25"/>
      <c r="P38" s="29"/>
    </row>
    <row r="39" ht="15.75" customHeight="1">
      <c r="A39" s="25" t="s">
        <v>124</v>
      </c>
      <c r="B39" s="23">
        <f t="shared" si="1"/>
        <v>10</v>
      </c>
      <c r="C39" s="29">
        <v>10.0</v>
      </c>
      <c r="D39" s="39">
        <f>COUNTIF(Master!B:B, A39)</f>
        <v>2</v>
      </c>
      <c r="E39" s="39">
        <f>SUMIF(Master!B:B, A39, Master!J:J)</f>
        <v>2</v>
      </c>
      <c r="K39" s="25"/>
      <c r="L39" s="29"/>
      <c r="O39" s="25"/>
      <c r="P39" s="29"/>
      <c r="S39" s="20"/>
    </row>
    <row r="40" ht="15.75" customHeight="1">
      <c r="A40" s="25" t="s">
        <v>248</v>
      </c>
      <c r="B40" s="23">
        <f t="shared" si="1"/>
        <v>10</v>
      </c>
      <c r="C40" s="29">
        <v>10.0</v>
      </c>
      <c r="D40" s="39">
        <f>COUNTIF(Master!B:B, A40)</f>
        <v>0</v>
      </c>
      <c r="E40" s="39">
        <f>SUMIF(Master!B:B, A40, Master!J:J)</f>
        <v>0</v>
      </c>
      <c r="K40" s="25"/>
      <c r="L40" s="29"/>
      <c r="O40" s="25"/>
      <c r="P40" s="29"/>
    </row>
    <row r="41" ht="15.75" customHeight="1">
      <c r="A41" s="25" t="s">
        <v>143</v>
      </c>
      <c r="B41" s="23">
        <f t="shared" si="1"/>
        <v>10</v>
      </c>
      <c r="C41" s="29">
        <v>10.0</v>
      </c>
      <c r="D41" s="39">
        <f>COUNTIF(Master!B:B, A41)</f>
        <v>2</v>
      </c>
      <c r="E41" s="39">
        <f>SUMIF(Master!B:B, A41, Master!J:J)</f>
        <v>2</v>
      </c>
      <c r="K41" s="25"/>
      <c r="L41" s="29"/>
      <c r="O41" s="25"/>
      <c r="P41" s="29"/>
    </row>
    <row r="42" ht="15.75" customHeight="1">
      <c r="A42" s="25" t="s">
        <v>80</v>
      </c>
      <c r="B42" s="23">
        <f t="shared" si="1"/>
        <v>20</v>
      </c>
      <c r="C42" s="29">
        <v>20.0</v>
      </c>
      <c r="D42" s="39">
        <f>COUNTIF(Master!B:B, A42)</f>
        <v>5</v>
      </c>
      <c r="E42" s="39">
        <f>SUMIF(Master!B:B, A42, Master!J:J)</f>
        <v>4.75</v>
      </c>
      <c r="K42" s="25"/>
      <c r="L42" s="29"/>
    </row>
    <row r="43" ht="15.75" customHeight="1">
      <c r="A43" s="25" t="s">
        <v>92</v>
      </c>
      <c r="B43" s="23">
        <f t="shared" si="1"/>
        <v>15</v>
      </c>
      <c r="C43" s="29">
        <v>15.0</v>
      </c>
      <c r="D43" s="39">
        <f>COUNTIF(Master!B:B, A43)</f>
        <v>1</v>
      </c>
      <c r="E43" s="39">
        <f>SUMIF(Master!B:B, A43, Master!J:J)</f>
        <v>1</v>
      </c>
      <c r="K43" s="25"/>
      <c r="L43" s="29"/>
    </row>
    <row r="44" ht="15.75" customHeight="1">
      <c r="A44" s="25" t="s">
        <v>212</v>
      </c>
      <c r="B44" s="23">
        <f t="shared" si="1"/>
        <v>20</v>
      </c>
      <c r="C44" s="29">
        <v>20.0</v>
      </c>
      <c r="D44" s="39">
        <f>COUNTIF(Master!B:B, A44)</f>
        <v>2</v>
      </c>
      <c r="E44" s="39">
        <f>SUMIF(Master!B:B, A44, Master!J:J)</f>
        <v>2</v>
      </c>
      <c r="K44" s="25"/>
      <c r="L44" s="29"/>
    </row>
    <row r="45" ht="15.75" customHeight="1">
      <c r="A45" s="25" t="s">
        <v>162</v>
      </c>
      <c r="B45" s="23">
        <f t="shared" si="1"/>
        <v>25</v>
      </c>
      <c r="C45" s="29">
        <v>25.0</v>
      </c>
      <c r="D45" s="39">
        <f>COUNTIF(Master!B:B, A45)</f>
        <v>2</v>
      </c>
      <c r="E45" s="39">
        <f>SUMIF(Master!B:B, A45, Master!J:J)</f>
        <v>1.75</v>
      </c>
      <c r="K45" s="25"/>
      <c r="L45" s="29"/>
    </row>
    <row r="46" ht="15.75" customHeight="1">
      <c r="A46" s="25" t="s">
        <v>64</v>
      </c>
      <c r="B46" s="23">
        <f t="shared" si="1"/>
        <v>10</v>
      </c>
      <c r="C46" s="29">
        <v>10.0</v>
      </c>
      <c r="D46" s="39">
        <f>COUNTIF(Master!B:B, A46)</f>
        <v>5</v>
      </c>
      <c r="E46" s="39">
        <f>SUMIF(Master!B:B, A46, Master!J:J)</f>
        <v>5</v>
      </c>
      <c r="K46" s="25"/>
      <c r="L46" s="29"/>
    </row>
    <row r="47" ht="15.75" customHeight="1">
      <c r="A47" s="25" t="s">
        <v>22</v>
      </c>
      <c r="B47" s="23">
        <f t="shared" si="1"/>
        <v>62.57666667</v>
      </c>
      <c r="C47" s="29">
        <v>35.0</v>
      </c>
      <c r="D47" s="39">
        <f>COUNTIF(Master!B:B, A47)</f>
        <v>3</v>
      </c>
      <c r="E47" s="39">
        <f>SUMIF(Master!B:B, A47, Master!J:J)</f>
        <v>3</v>
      </c>
      <c r="F47" s="42">
        <v>82.73</v>
      </c>
      <c r="G47" s="29">
        <f>F47/E47</f>
        <v>27.57666667</v>
      </c>
      <c r="K47" s="25"/>
      <c r="L47" s="29"/>
    </row>
    <row r="48" ht="15.75" customHeight="1">
      <c r="A48" s="25" t="s">
        <v>249</v>
      </c>
      <c r="B48" s="23">
        <f t="shared" si="1"/>
        <v>22.5</v>
      </c>
      <c r="C48" s="29">
        <v>22.5</v>
      </c>
      <c r="D48" s="39">
        <f>COUNTIF(Master!B:B, A48)</f>
        <v>0</v>
      </c>
      <c r="E48" s="39">
        <f>SUMIF(Master!B:B, A48, Master!J:J)</f>
        <v>0</v>
      </c>
      <c r="K48" s="25"/>
      <c r="L48" s="2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27" t="s">
        <v>226</v>
      </c>
      <c r="B1" s="43" t="s">
        <v>250</v>
      </c>
      <c r="C1" s="42" t="s">
        <v>251</v>
      </c>
      <c r="D1" s="42" t="s">
        <v>252</v>
      </c>
    </row>
    <row r="2" ht="15.75" customHeight="1">
      <c r="A2" s="27" t="s">
        <v>16</v>
      </c>
      <c r="B2" s="29">
        <f t="shared" ref="B2:B4" si="1">(D2*12)/(C2*39)</f>
        <v>15.36893204</v>
      </c>
      <c r="C2" s="36">
        <f>COUNTIF(Master!C:C,A2)</f>
        <v>103</v>
      </c>
      <c r="D2" s="36">
        <f>3844.25+1300.5</f>
        <v>5144.75</v>
      </c>
    </row>
    <row r="3" ht="15.75" customHeight="1">
      <c r="A3" s="27" t="s">
        <v>41</v>
      </c>
      <c r="B3" s="29">
        <f t="shared" si="1"/>
        <v>22.62130178</v>
      </c>
      <c r="C3" s="36">
        <f>COUNTIF(Master!C:C,A3)</f>
        <v>26</v>
      </c>
      <c r="D3" s="42">
        <v>1911.5</v>
      </c>
    </row>
    <row r="4" ht="15.75" customHeight="1">
      <c r="A4" s="32" t="s">
        <v>23</v>
      </c>
      <c r="B4" s="29">
        <f t="shared" si="1"/>
        <v>14.38046154</v>
      </c>
      <c r="C4" s="36">
        <f>COUNTIF(Master!C:C,A4)</f>
        <v>20</v>
      </c>
      <c r="D4" s="42">
        <v>934.73</v>
      </c>
    </row>
    <row r="5" ht="15.75" customHeight="1">
      <c r="A5" s="27" t="s">
        <v>81</v>
      </c>
      <c r="B5" s="29">
        <v>17.5</v>
      </c>
      <c r="C5" s="36">
        <f>COUNTIF(Master!C:C,A5)</f>
        <v>2</v>
      </c>
    </row>
    <row r="6" ht="15.75" customHeight="1">
      <c r="A6" s="27" t="s">
        <v>65</v>
      </c>
      <c r="B6" s="41">
        <v>19.05</v>
      </c>
      <c r="C6" s="36">
        <f>COUNTIF(Master!C:C,A6)</f>
        <v>3</v>
      </c>
    </row>
    <row r="7" ht="15.75" customHeight="1">
      <c r="A7" s="27" t="s">
        <v>174</v>
      </c>
      <c r="B7" s="41">
        <v>19.05</v>
      </c>
      <c r="C7" s="36">
        <f>COUNTIF(Master!C:C,A7)</f>
        <v>3</v>
      </c>
    </row>
    <row r="8" ht="15.75" customHeight="1">
      <c r="A8" s="27" t="s">
        <v>134</v>
      </c>
      <c r="B8" s="29">
        <f>(D8*12)/(C8*39)</f>
        <v>18.46153846</v>
      </c>
      <c r="C8" s="36">
        <f>COUNTIF(Master!C:C,A8)</f>
        <v>1</v>
      </c>
      <c r="D8" s="42">
        <v>60.0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